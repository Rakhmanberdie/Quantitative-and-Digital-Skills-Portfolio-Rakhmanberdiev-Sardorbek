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kt Segm" sheetId="1" r:id="rId5"/>
    <sheet state="visible" name="market segmentation " sheetId="2" r:id="rId6"/>
    <sheet state="visible" name="mrtk segm result" sheetId="3" r:id="rId7"/>
    <sheet state="visible" name="scree graph" sheetId="4" r:id="rId8"/>
    <sheet state="visible" name="FA3 SEGM" sheetId="5" r:id="rId9"/>
    <sheet state="visible" name="mrk segm groups" sheetId="6" r:id="rId10"/>
    <sheet state="visible" name="AIRLINE DATASET" sheetId="7" r:id="rId11"/>
    <sheet state="visible" name="Airline dataset result" sheetId="8" r:id="rId12"/>
  </sheets>
  <definedNames/>
  <calcPr/>
</workbook>
</file>

<file path=xl/sharedStrings.xml><?xml version="1.0" encoding="utf-8"?>
<sst xmlns="http://schemas.openxmlformats.org/spreadsheetml/2006/main" count="866" uniqueCount="215">
  <si>
    <t>Hidden Segment</t>
  </si>
  <si>
    <t>Key Observed Variables (Indicators)</t>
  </si>
  <si>
    <t>Recency, Frequency, Monetary Value (RFM)</t>
  </si>
  <si>
    <t>High-Value Loyalty Segment</t>
  </si>
  <si>
    <t>High Purchase Frequency, High Monetary Value, High Recency (RFM)</t>
  </si>
  <si>
    <t>Eco-conscious Segment</t>
  </si>
  <si>
    <t>High purchase rate of sustainable products, high engagement with green marketing</t>
  </si>
  <si>
    <t>Market Segments / Classes</t>
  </si>
  <si>
    <t>App Usage Rate</t>
  </si>
  <si>
    <t>Price-Sensitive Segment</t>
  </si>
  <si>
    <t>High coupon redemption rate, high price-comparison behavior</t>
  </si>
  <si>
    <t>Technology Laggards</t>
  </si>
  <si>
    <t>Low app usage, slow adoption of digital services, older age demographics</t>
  </si>
  <si>
    <t>Time spent on site</t>
  </si>
  <si>
    <t>Average order value</t>
  </si>
  <si>
    <t>redemption of loyalty rewards.</t>
  </si>
  <si>
    <t>Demographic data</t>
  </si>
  <si>
    <t>Location/Postcode</t>
  </si>
  <si>
    <t>Net Promoter Score (NPS): A single question (“How likely are you to recommend...”</t>
  </si>
  <si>
    <t>recency_days</t>
  </si>
  <si>
    <t>purchase_frequency</t>
  </si>
  <si>
    <t>monetary_value</t>
  </si>
  <si>
    <t>sustainable_purchase_rate</t>
  </si>
  <si>
    <t>green_campaign_click_rate</t>
  </si>
  <si>
    <t>coupon_redemption_rate</t>
  </si>
  <si>
    <t>price_comparison_score</t>
  </si>
  <si>
    <t>app_usage_rate</t>
  </si>
  <si>
    <t>digital_feature_usage_score</t>
  </si>
  <si>
    <t>age</t>
  </si>
  <si>
    <t>STANDARDIZE:</t>
  </si>
  <si>
    <t>Factor Analysis - Principal Component Extraction</t>
  </si>
  <si>
    <t>Mean</t>
  </si>
  <si>
    <t>Std dev</t>
  </si>
  <si>
    <t>Skewness</t>
  </si>
  <si>
    <t>Kurtosis</t>
  </si>
  <si>
    <t>Correlation Matrix</t>
  </si>
  <si>
    <t>Inverse of Correlation Matrix</t>
  </si>
  <si>
    <t>sqrt(diag)</t>
  </si>
  <si>
    <t>Partial Correlation Matrix</t>
  </si>
  <si>
    <t>KMO</t>
  </si>
  <si>
    <t>Eigenvalues and eigenvectors</t>
  </si>
  <si>
    <t>Full Load Matrix</t>
  </si>
  <si>
    <t>Commun</t>
  </si>
  <si>
    <t>Scree Plot</t>
  </si>
  <si>
    <t>eValue</t>
  </si>
  <si>
    <t>%</t>
  </si>
  <si>
    <t>Cum %</t>
  </si>
  <si>
    <t>Factor Matrix (unrotated)</t>
  </si>
  <si>
    <t>Specific</t>
  </si>
  <si>
    <t>Factor Matrix (rotated Varimax)</t>
  </si>
  <si>
    <t>Reproduced Correlation Matrix</t>
  </si>
  <si>
    <t>Error Matrix</t>
  </si>
  <si>
    <t>Factor Scores Matrix - Regression Method</t>
  </si>
  <si>
    <t>Factor Scores Matrix - Bartlett's Method</t>
  </si>
  <si>
    <t>Factor Scores Matrix - Anderson-Rubin's Method</t>
  </si>
  <si>
    <t>You should retain 3 factors, not 4. The eigenvalues are 4.75, 2.26, and 1.91, and then there is a sharp drop to 0.27. The scree plot clearly supports a three-factor solution.</t>
  </si>
  <si>
    <t>eIGEN VALUES:</t>
  </si>
  <si>
    <t>SEGMENT ONE</t>
  </si>
  <si>
    <t>SEGMENT TWO</t>
  </si>
  <si>
    <t>SEGMENT THREE</t>
  </si>
  <si>
    <t>SEGMENT FOUR</t>
  </si>
  <si>
    <t>recency_days
-0.92745</t>
  </si>
  <si>
    <t>monetary_value
 -0.61596</t>
  </si>
  <si>
    <t>sustainable_purchase_rate
0.972225</t>
  </si>
  <si>
    <t>High Value / Digital Engagement</t>
  </si>
  <si>
    <t>Price Sensitive</t>
  </si>
  <si>
    <t>Eco Conscious consumers</t>
  </si>
  <si>
    <t>Low Value / Low Digital Engagement</t>
  </si>
  <si>
    <t>purchase_frequency
0.82407</t>
  </si>
  <si>
    <t>Price Senstiive</t>
  </si>
  <si>
    <t>Eco Concsious Customers</t>
  </si>
  <si>
    <t>coupon_redemption_rate
0.934786</t>
  </si>
  <si>
    <t>green_campaign_click_rate
0.974155</t>
  </si>
  <si>
    <t>age 
-0.83475</t>
  </si>
  <si>
    <t>monetary_value
0.695053</t>
  </si>
  <si>
    <t>app_usage_rate
0.915009</t>
  </si>
  <si>
    <t>price_comparison_score
 0.918041</t>
  </si>
  <si>
    <t>digital_feature_usage_score 
0.930239</t>
  </si>
  <si>
    <t>age
-0.83475</t>
  </si>
  <si>
    <t>Cusomer ID</t>
  </si>
  <si>
    <t>Ease of Online booking</t>
  </si>
  <si>
    <t>Online boarding</t>
  </si>
  <si>
    <t>On-board service</t>
  </si>
  <si>
    <t>Baggage handling</t>
  </si>
  <si>
    <t>Inflight service</t>
  </si>
  <si>
    <t>Inflight WiFi service</t>
  </si>
  <si>
    <t>Inflight entertainment</t>
  </si>
  <si>
    <t>Seat comfort</t>
  </si>
  <si>
    <t>Leg room</t>
  </si>
  <si>
    <t>Food and drinks</t>
  </si>
  <si>
    <t>Cleanliness</t>
  </si>
  <si>
    <t>ID001</t>
  </si>
  <si>
    <t>ID002</t>
  </si>
  <si>
    <t>Inflight wifi service</t>
  </si>
  <si>
    <t>Food and drink</t>
  </si>
  <si>
    <t>Leg room service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</si>
  <si>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</si>
  <si>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</si>
  <si>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</si>
  <si>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</si>
  <si>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</si>
  <si>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</si>
  <si>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</si>
  <si>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</si>
  <si>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</si>
  <si>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</si>
  <si>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</si>
  <si>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</si>
  <si>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</si>
  <si>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</si>
  <si>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</si>
  <si>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</si>
  <si>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</si>
  <si>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</si>
  <si>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</si>
  <si>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</si>
  <si>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</si>
  <si>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</si>
  <si>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</si>
  <si>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ID026</t>
  </si>
  <si>
    <t>ID027</t>
  </si>
  <si>
    <t>ID028</t>
  </si>
  <si>
    <t>ID029</t>
  </si>
  <si>
    <t>ID030</t>
  </si>
  <si>
    <t>ID031</t>
  </si>
  <si>
    <t>ID032</t>
  </si>
  <si>
    <t>ID033</t>
  </si>
  <si>
    <t>ID034</t>
  </si>
  <si>
    <t>ID035</t>
  </si>
  <si>
    <t>ID036</t>
  </si>
  <si>
    <t>ID037</t>
  </si>
  <si>
    <t>ID038</t>
  </si>
  <si>
    <t>ID039</t>
  </si>
  <si>
    <t>ID040</t>
  </si>
  <si>
    <t>ID041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</si>
  <si>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</si>
  <si>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</si>
  <si>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</si>
  <si>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</si>
  <si>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</si>
  <si>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</si>
  <si>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</si>
  <si>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</si>
  <si>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</si>
  <si>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</si>
  <si>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</si>
  <si>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</si>
  <si>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</si>
  <si>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</si>
  <si>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</si>
  <si>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</si>
  <si>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</si>
  <si>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</si>
  <si>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</si>
  <si>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ID061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</si>
  <si>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</si>
  <si>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</si>
  <si>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</si>
  <si>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</si>
  <si>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</si>
  <si>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</si>
  <si>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</si>
  <si>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</si>
  <si>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</si>
  <si>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</si>
  <si>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</si>
  <si>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</si>
  <si>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</si>
  <si>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</si>
  <si>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ID076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</si>
  <si>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</si>
  <si>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</si>
  <si>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</si>
  <si>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</si>
  <si>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</si>
  <si>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</si>
  <si>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</si>
  <si>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</si>
  <si>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</si>
  <si>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</si>
  <si>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</si>
  <si>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</si>
  <si>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</si>
  <si>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</si>
  <si>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</si>
  <si>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</si>
  <si>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ID093</t>
  </si>
  <si>
    <t>ID094</t>
  </si>
  <si>
    <t>ID095</t>
  </si>
  <si>
    <t>ID096</t>
  </si>
  <si>
    <t>ID097</t>
  </si>
  <si>
    <t>ID098</t>
  </si>
  <si>
    <t>ID099</t>
  </si>
  <si>
    <t>Comfort &amp; Service Quality</t>
  </si>
  <si>
    <t>Digital Experience &amp; Convenience</t>
  </si>
  <si>
    <t>Service Operations</t>
  </si>
  <si>
    <t>Cabin Space</t>
  </si>
  <si>
    <t>FACTOR 1</t>
  </si>
  <si>
    <t>FACTOR 2</t>
  </si>
  <si>
    <t>FACTOR 3</t>
  </si>
  <si>
    <t>FACTOR 4</t>
  </si>
  <si>
    <t>Food and drink 
-0.88669</t>
  </si>
  <si>
    <t>Inflight wifi service 
-0.8989</t>
  </si>
  <si>
    <t>On-board service 
-0.72403</t>
  </si>
  <si>
    <t>Seat comfort
 -0.89072</t>
  </si>
  <si>
    <t>digital access and experience</t>
  </si>
  <si>
    <t>Ease of Online booking
-0.83652</t>
  </si>
  <si>
    <t>Baggage handling 
-0.82831</t>
  </si>
  <si>
    <t>Cabin space</t>
  </si>
  <si>
    <t>Leg room service 
0.884</t>
  </si>
  <si>
    <t>Inflight entertainment
-0.7725</t>
  </si>
  <si>
    <t>Online boarding 
-0.73498</t>
  </si>
  <si>
    <t>Inflight service
-0.84748</t>
  </si>
  <si>
    <t>On-board serviceA</t>
  </si>
  <si>
    <t>Cleanliness
 -0.91855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</si>
</sst>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26">
    <font>
      <sz val="10.0"/>
      <color rgb="FF000000"/>
      <name val="Arial"/>
      <scheme val="minor"/>
    </font>
    <font>
      <b/>
      <sz val="12.0"/>
      <color rgb="FFA708C7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sz val="11.0"/>
      <color rgb="FF000000"/>
      <name val="&quot;Aptos Narrow&quot;"/>
    </font>
    <font>
      <color rgb="FF000000"/>
      <name val="Arial"/>
    </font>
    <font>
      <color theme="1"/>
      <name val="Arial"/>
    </font>
    <font>
      <sz val="11.0"/>
      <color theme="1"/>
      <name val="Aptos Narrow"/>
    </font>
    <font>
      <b/>
      <color rgb="FF20124D"/>
      <name val="Arial"/>
      <scheme val="minor"/>
    </font>
    <font>
      <b/>
      <color rgb="FF3B09B9"/>
      <name val="Arial"/>
      <scheme val="minor"/>
    </font>
    <font>
      <b/>
      <sz val="11.0"/>
      <color rgb="FF000000"/>
      <name val="&quot;Aptos Narrow&quot;"/>
    </font>
    <font>
      <color rgb="FF20124D"/>
      <name val="Arial"/>
      <scheme val="minor"/>
    </font>
    <font/>
    <font>
      <b/>
      <sz val="11.0"/>
      <color rgb="FF000000"/>
      <name val="Arial"/>
    </font>
    <font>
      <color theme="1"/>
      <name val="Calibri"/>
    </font>
    <font>
      <b/>
      <color rgb="FFFFFFFF"/>
      <name val="Arial"/>
    </font>
    <font>
      <b/>
      <color rgb="FF20124D"/>
      <name val="Arial"/>
    </font>
    <font>
      <b/>
      <color rgb="FF3B09B9"/>
      <name val="Arial"/>
    </font>
    <font>
      <b/>
      <color rgb="FFA708C7"/>
      <name val="Arial"/>
    </font>
    <font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708C7"/>
        <bgColor rgb="FFA708C7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20124D"/>
        <bgColor rgb="FF20124D"/>
      </patternFill>
    </fill>
    <fill>
      <patternFill patternType="solid">
        <fgColor rgb="FF3B09B9"/>
        <bgColor rgb="FF3B09B9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0C343D"/>
        <bgColor rgb="FF0C343D"/>
      </patternFill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A708C7"/>
      </left>
      <right style="thick">
        <color rgb="FFA708C7"/>
      </right>
      <top style="thick">
        <color rgb="FFA708C7"/>
      </top>
      <bottom style="thick">
        <color rgb="FFA708C7"/>
      </bottom>
    </border>
    <border>
      <left style="thick">
        <color rgb="FFA708C7"/>
      </left>
      <top style="thick">
        <color rgb="FFA708C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ck">
        <color rgb="FFA708C7"/>
      </top>
    </border>
    <border>
      <right style="thick">
        <color rgb="FFA708C7"/>
      </right>
      <top style="thick">
        <color rgb="FFA708C7"/>
      </top>
      <bottom style="thick">
        <color rgb="FFA708C7"/>
      </bottom>
    </border>
    <border>
      <left style="thick">
        <color rgb="FFA708C7"/>
      </left>
      <bottom style="thick">
        <color rgb="FFA708C7"/>
      </bottom>
    </border>
    <border>
      <left style="thick">
        <color rgb="FFA708C7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20124D"/>
      </left>
      <right style="thick">
        <color rgb="FF20124D"/>
      </right>
      <top style="thick">
        <color rgb="FF20124D"/>
      </top>
      <bottom style="thick">
        <color rgb="FF20124D"/>
      </bottom>
    </border>
    <border>
      <left style="thick">
        <color rgb="FF3B09B9"/>
      </left>
      <right style="thick">
        <color rgb="FF3B09B9"/>
      </right>
      <top style="thick">
        <color rgb="FF3B09B9"/>
      </top>
    </border>
    <border>
      <left style="thick">
        <color rgb="FF20124D"/>
      </left>
      <right style="thick">
        <color rgb="FF20124D"/>
      </right>
      <top style="thick">
        <color rgb="FF20124D"/>
      </top>
    </border>
    <border>
      <left style="thick">
        <color rgb="FF20124D"/>
      </left>
      <top style="thick">
        <color rgb="FF20124D"/>
      </top>
      <bottom style="thick">
        <color rgb="FF20124D"/>
      </bottom>
    </border>
    <border>
      <left style="thick">
        <color rgb="FF3B09B9"/>
      </left>
      <top style="thick">
        <color rgb="FF3B09B9"/>
      </top>
    </border>
    <border>
      <left style="thick">
        <color rgb="FF3B09B9"/>
      </left>
      <right style="thick">
        <color rgb="FF3B09B9"/>
      </right>
      <bottom style="thick">
        <color rgb="FF3B09B9"/>
      </bottom>
    </border>
    <border>
      <left style="thick">
        <color rgb="FF20124D"/>
      </left>
      <right style="thick">
        <color rgb="FF20124D"/>
      </right>
      <bottom style="thick">
        <color rgb="FF20124D"/>
      </bottom>
    </border>
    <border>
      <left style="thick">
        <color rgb="FF20124D"/>
      </left>
      <bottom style="thick">
        <color rgb="FF20124D"/>
      </bottom>
    </border>
    <border>
      <left style="thick">
        <color rgb="FF3B09B9"/>
      </left>
      <bottom style="thick">
        <color rgb="FF3B09B9"/>
      </bottom>
    </border>
    <border>
      <right style="thick">
        <color rgb="FF3B09B9"/>
      </right>
      <top style="thick">
        <color rgb="FF3B09B9"/>
      </top>
    </border>
    <border>
      <left style="thick">
        <color rgb="FF000000"/>
      </left>
    </border>
    <border>
      <left style="thick">
        <color rgb="FF3B09B9"/>
      </left>
    </border>
    <border>
      <right style="thick">
        <color rgb="FF3B09B9"/>
      </right>
      <bottom style="thick">
        <color rgb="FF3B09B9"/>
      </bottom>
    </border>
    <border>
      <left style="thick">
        <color rgb="FF000000"/>
      </left>
      <bottom style="thick">
        <color rgb="FF000000"/>
      </bottom>
    </border>
    <border>
      <left style="thick">
        <color rgb="FF3B09B9"/>
      </left>
      <right style="thick">
        <color rgb="FF3B09B9"/>
      </right>
      <top style="thick">
        <color rgb="FF3B09B9"/>
      </top>
      <bottom style="thick">
        <color rgb="FF3B09B9"/>
      </bottom>
    </border>
    <border>
      <left style="thick">
        <color rgb="FF3B09B9"/>
      </left>
      <top style="thick">
        <color rgb="FF3B09B9"/>
      </top>
      <bottom style="thick">
        <color rgb="FF3B09B9"/>
      </bottom>
    </border>
    <border>
      <left style="thick">
        <color rgb="FF9900FF"/>
      </left>
      <right style="thick">
        <color rgb="FF9900FF"/>
      </right>
      <top style="thick">
        <color rgb="FF9900FF"/>
      </top>
      <bottom style="thick">
        <color rgb="FF9900FF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left" readingOrder="0"/>
    </xf>
    <xf borderId="2" fillId="3" fontId="4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vertical="top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3" fillId="0" fontId="2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6" numFmtId="4" xfId="0" applyAlignment="1" applyFont="1" applyNumberFormat="1">
      <alignment readingOrder="0" shrinkToFit="0" wrapText="1"/>
    </xf>
    <xf borderId="0" fillId="0" fontId="6" numFmtId="0" xfId="0" applyFont="1"/>
    <xf borderId="0" fillId="4" fontId="6" numFmtId="0" xfId="0" applyAlignment="1" applyFill="1" applyFont="1">
      <alignment readingOrder="0" shrinkToFit="0" wrapText="1"/>
    </xf>
    <xf borderId="0" fillId="4" fontId="7" numFmtId="0" xfId="0" applyAlignment="1" applyFont="1">
      <alignment readingOrder="0"/>
    </xf>
    <xf borderId="0" fillId="0" fontId="8" numFmtId="4" xfId="0" applyAlignment="1" applyFont="1" applyNumberFormat="1">
      <alignment readingOrder="0"/>
    </xf>
    <xf borderId="0" fillId="4" fontId="8" numFmtId="0" xfId="0" applyAlignment="1" applyFont="1">
      <alignment readingOrder="0" shrinkToFit="0" wrapText="1"/>
    </xf>
    <xf borderId="0" fillId="0" fontId="8" numFmtId="4" xfId="0" applyAlignment="1" applyFont="1" applyNumberFormat="1">
      <alignment shrinkToFit="0" wrapText="1"/>
    </xf>
    <xf borderId="0" fillId="4" fontId="8" numFmtId="0" xfId="0" applyAlignment="1" applyFont="1">
      <alignment shrinkToFit="0" wrapText="1"/>
    </xf>
    <xf borderId="0" fillId="4" fontId="8" numFmtId="0" xfId="0" applyAlignment="1" applyFont="1">
      <alignment shrinkToFit="0" wrapText="1"/>
    </xf>
    <xf borderId="0" fillId="4" fontId="8" numFmtId="0" xfId="0" applyFont="1"/>
    <xf borderId="0" fillId="0" fontId="8" numFmtId="4" xfId="0" applyFont="1" applyNumberFormat="1"/>
    <xf borderId="0" fillId="0" fontId="9" numFmtId="4" xfId="0" applyAlignment="1" applyFont="1" applyNumberFormat="1">
      <alignment readingOrder="0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4" xfId="0" applyAlignment="1" applyFont="1" applyNumberFormat="1">
      <alignment horizontal="right" readingOrder="0" shrinkToFit="0" vertical="bottom" wrapText="1"/>
    </xf>
    <xf borderId="0" fillId="0" fontId="11" numFmtId="0" xfId="0" applyAlignment="1" applyFont="1">
      <alignment horizontal="right" readingOrder="0" shrinkToFit="0" vertical="bottom" wrapText="1"/>
    </xf>
    <xf borderId="9" fillId="0" fontId="10" numFmtId="0" xfId="0" applyAlignment="1" applyBorder="1" applyFont="1">
      <alignment horizontal="right" readingOrder="0" shrinkToFit="0" vertical="bottom" wrapText="0"/>
    </xf>
    <xf borderId="10" fillId="0" fontId="10" numFmtId="0" xfId="0" applyAlignment="1" applyBorder="1" applyFont="1">
      <alignment horizontal="right" readingOrder="0" shrinkToFit="0" vertical="bottom" wrapText="0"/>
    </xf>
    <xf borderId="11" fillId="0" fontId="10" numFmtId="0" xfId="0" applyAlignment="1" applyBorder="1" applyFont="1">
      <alignment horizontal="right" readingOrder="0" shrinkToFit="0" vertical="bottom" wrapText="0"/>
    </xf>
    <xf borderId="12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13" fillId="0" fontId="10" numFmtId="0" xfId="0" applyAlignment="1" applyBorder="1" applyFont="1">
      <alignment horizontal="right" readingOrder="0" shrinkToFit="0" vertical="bottom" wrapText="0"/>
    </xf>
    <xf borderId="14" fillId="0" fontId="10" numFmtId="0" xfId="0" applyAlignment="1" applyBorder="1" applyFont="1">
      <alignment horizontal="right" readingOrder="0" shrinkToFit="0" vertical="bottom" wrapText="0"/>
    </xf>
    <xf borderId="15" fillId="0" fontId="10" numFmtId="0" xfId="0" applyAlignment="1" applyBorder="1" applyFont="1">
      <alignment horizontal="right" readingOrder="0" shrinkToFit="0" vertical="bottom" wrapText="0"/>
    </xf>
    <xf borderId="16" fillId="0" fontId="10" numFmtId="0" xfId="0" applyAlignment="1" applyBorder="1" applyFont="1">
      <alignment horizontal="right" readingOrder="0" shrinkToFit="0" vertical="bottom" wrapText="0"/>
    </xf>
    <xf borderId="17" fillId="0" fontId="10" numFmtId="0" xfId="0" applyAlignment="1" applyBorder="1" applyFont="1">
      <alignment horizontal="right" readingOrder="0" shrinkToFit="0" vertical="bottom" wrapText="0"/>
    </xf>
    <xf borderId="18" fillId="0" fontId="10" numFmtId="0" xfId="0" applyAlignment="1" applyBorder="1" applyFont="1">
      <alignment horizontal="right" readingOrder="0" shrinkToFit="0" vertical="bottom" wrapText="0"/>
    </xf>
    <xf borderId="19" fillId="0" fontId="10" numFmtId="0" xfId="0" applyAlignment="1" applyBorder="1" applyFont="1">
      <alignment horizontal="right" readingOrder="0" shrinkToFit="0" vertical="bottom" wrapText="0"/>
    </xf>
    <xf borderId="4" fillId="0" fontId="10" numFmtId="0" xfId="0" applyAlignment="1" applyBorder="1" applyFont="1">
      <alignment horizontal="right" readingOrder="0" shrinkToFit="0" vertical="bottom" wrapText="0"/>
    </xf>
    <xf borderId="20" fillId="0" fontId="10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21" fillId="0" fontId="1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10" fillId="0" fontId="10" numFmtId="10" xfId="0" applyAlignment="1" applyBorder="1" applyFont="1" applyNumberFormat="1">
      <alignment horizontal="right" readingOrder="0" shrinkToFit="0" vertical="bottom" wrapText="0"/>
    </xf>
    <xf borderId="11" fillId="0" fontId="10" numFmtId="10" xfId="0" applyAlignment="1" applyBorder="1" applyFont="1" applyNumberFormat="1">
      <alignment horizontal="right" readingOrder="0" shrinkToFit="0" vertical="bottom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13" fillId="0" fontId="10" numFmtId="10" xfId="0" applyAlignment="1" applyBorder="1" applyFont="1" applyNumberFormat="1">
      <alignment horizontal="right" readingOrder="0" shrinkToFit="0" vertical="bottom" wrapText="0"/>
    </xf>
    <xf borderId="15" fillId="0" fontId="10" numFmtId="10" xfId="0" applyAlignment="1" applyBorder="1" applyFont="1" applyNumberFormat="1">
      <alignment horizontal="right" readingOrder="0" shrinkToFit="0" vertical="bottom" wrapText="0"/>
    </xf>
    <xf borderId="16" fillId="0" fontId="10" numFmtId="10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/>
    </xf>
    <xf borderId="0" fillId="0" fontId="11" numFmtId="4" xfId="0" applyAlignment="1" applyFont="1" applyNumberFormat="1">
      <alignment shrinkToFit="0" vertical="bottom" wrapText="1"/>
    </xf>
    <xf borderId="0" fillId="0" fontId="11" numFmtId="0" xfId="0" applyAlignment="1" applyFont="1">
      <alignment shrinkToFit="0" vertical="bottom" wrapText="1"/>
    </xf>
    <xf borderId="0" fillId="4" fontId="10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vertical="bottom"/>
    </xf>
    <xf borderId="14" fillId="5" fontId="13" numFmtId="0" xfId="0" applyAlignment="1" applyBorder="1" applyFill="1" applyFont="1">
      <alignment horizontal="right" vertical="bottom"/>
    </xf>
    <xf borderId="15" fillId="5" fontId="13" numFmtId="0" xfId="0" applyAlignment="1" applyBorder="1" applyFont="1">
      <alignment horizontal="right" vertical="bottom"/>
    </xf>
    <xf borderId="15" fillId="0" fontId="13" numFmtId="0" xfId="0" applyAlignment="1" applyBorder="1" applyFont="1">
      <alignment horizontal="right" vertical="bottom"/>
    </xf>
    <xf borderId="0" fillId="0" fontId="8" numFmtId="0" xfId="0" applyFont="1"/>
    <xf borderId="0" fillId="0" fontId="6" numFmtId="0" xfId="0" applyAlignment="1" applyFont="1">
      <alignment horizontal="left" shrinkToFit="0" wrapText="1"/>
    </xf>
    <xf borderId="0" fillId="0" fontId="14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left" shrinkToFit="0" vertical="bottom" wrapText="1"/>
    </xf>
    <xf borderId="22" fillId="6" fontId="7" numFmtId="4" xfId="0" applyAlignment="1" applyBorder="1" applyFill="1" applyFont="1" applyNumberFormat="1">
      <alignment horizontal="center" readingOrder="0" vertical="center"/>
    </xf>
    <xf borderId="0" fillId="0" fontId="8" numFmtId="0" xfId="0" applyAlignment="1" applyFont="1">
      <alignment shrinkToFit="0" vertical="center" wrapText="1"/>
    </xf>
    <xf borderId="23" fillId="7" fontId="7" numFmtId="0" xfId="0" applyAlignment="1" applyBorder="1" applyFill="1" applyFont="1">
      <alignment horizontal="center" readingOrder="0" shrinkToFit="0" vertical="center" wrapText="1"/>
    </xf>
    <xf borderId="23" fillId="8" fontId="7" numFmtId="0" xfId="0" applyAlignment="1" applyBorder="1" applyFill="1" applyFont="1">
      <alignment horizontal="center" readingOrder="0" shrinkToFit="0" vertical="center" wrapText="1"/>
    </xf>
    <xf borderId="24" fillId="6" fontId="7" numFmtId="4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horizontal="left" readingOrder="0" shrinkToFit="0" vertical="bottom" wrapText="1"/>
    </xf>
    <xf borderId="22" fillId="6" fontId="7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vertical="bottom"/>
    </xf>
    <xf borderId="25" fillId="0" fontId="17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26" fillId="0" fontId="8" numFmtId="0" xfId="0" applyAlignment="1" applyBorder="1" applyFont="1">
      <alignment shrinkToFit="0" vertical="center" wrapText="1"/>
    </xf>
    <xf borderId="27" fillId="0" fontId="18" numFmtId="0" xfId="0" applyBorder="1" applyFont="1"/>
    <xf borderId="28" fillId="0" fontId="18" numFmtId="0" xfId="0" applyBorder="1" applyFont="1"/>
    <xf borderId="9" fillId="0" fontId="16" numFmtId="0" xfId="0" applyAlignment="1" applyBorder="1" applyFont="1">
      <alignment horizontal="left" readingOrder="0" shrinkToFit="0" vertical="bottom" wrapText="1"/>
    </xf>
    <xf borderId="0" fillId="0" fontId="13" numFmtId="0" xfId="0" applyAlignment="1" applyFont="1">
      <alignment horizontal="right" vertical="bottom"/>
    </xf>
    <xf borderId="0" fillId="6" fontId="7" numFmtId="0" xfId="0" applyAlignment="1" applyFont="1">
      <alignment horizontal="center" readingOrder="0" shrinkToFit="0" vertical="center" wrapText="1"/>
    </xf>
    <xf borderId="12" fillId="0" fontId="16" numFmtId="0" xfId="0" applyAlignment="1" applyBorder="1" applyFont="1">
      <alignment horizontal="left" readingOrder="0" shrinkToFit="0" vertical="bottom" wrapText="1"/>
    </xf>
    <xf borderId="0" fillId="9" fontId="10" numFmtId="0" xfId="0" applyAlignment="1" applyFill="1" applyFont="1">
      <alignment shrinkToFit="0" vertical="bottom" wrapText="0"/>
    </xf>
    <xf borderId="29" fillId="0" fontId="8" numFmtId="0" xfId="0" applyAlignment="1" applyBorder="1" applyFont="1">
      <alignment vertical="center"/>
    </xf>
    <xf borderId="30" fillId="0" fontId="8" numFmtId="0" xfId="0" applyAlignment="1" applyBorder="1" applyFont="1">
      <alignment shrinkToFit="0" vertical="center" wrapText="1"/>
    </xf>
    <xf borderId="31" fillId="7" fontId="7" numFmtId="0" xfId="0" applyAlignment="1" applyBorder="1" applyFont="1">
      <alignment horizontal="center" readingOrder="0" shrinkToFit="0" vertical="center" wrapText="1"/>
    </xf>
    <xf borderId="31" fillId="8" fontId="7" numFmtId="0" xfId="0" applyAlignment="1" applyBorder="1" applyFont="1">
      <alignment horizontal="center" readingOrder="0" shrinkToFit="0" vertical="center" wrapText="1"/>
    </xf>
    <xf borderId="32" fillId="0" fontId="8" numFmtId="0" xfId="0" applyAlignment="1" applyBorder="1" applyFont="1">
      <alignment vertical="center"/>
    </xf>
    <xf borderId="33" fillId="0" fontId="8" numFmtId="0" xfId="0" applyAlignment="1" applyBorder="1" applyFont="1">
      <alignment shrinkToFit="0" vertical="center" wrapText="1"/>
    </xf>
    <xf borderId="34" fillId="0" fontId="18" numFmtId="0" xfId="0" applyBorder="1" applyFont="1"/>
    <xf borderId="0" fillId="0" fontId="14" numFmtId="0" xfId="0" applyAlignment="1" applyFont="1">
      <alignment horizontal="left" readingOrder="0" shrinkToFit="0" vertical="center" wrapText="1"/>
    </xf>
    <xf borderId="32" fillId="0" fontId="8" numFmtId="0" xfId="0" applyBorder="1" applyFont="1"/>
    <xf borderId="12" fillId="0" fontId="19" numFmtId="0" xfId="0" applyAlignment="1" applyBorder="1" applyFont="1">
      <alignment horizontal="left" readingOrder="0" shrinkToFit="0" vertical="bottom" wrapText="1"/>
    </xf>
    <xf borderId="35" fillId="0" fontId="8" numFmtId="0" xfId="0" applyAlignment="1" applyBorder="1" applyFont="1">
      <alignment vertical="center"/>
    </xf>
    <xf borderId="33" fillId="0" fontId="8" numFmtId="0" xfId="0" applyBorder="1" applyFont="1"/>
    <xf borderId="14" fillId="0" fontId="16" numFmtId="0" xfId="0" applyAlignment="1" applyBorder="1" applyFont="1">
      <alignment horizontal="left" readingOrder="0"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0" fontId="20" numFmtId="1" xfId="0" applyAlignment="1" applyFont="1" applyNumberFormat="1">
      <alignment horizontal="center" shrinkToFit="0" vertical="bottom" wrapText="1"/>
    </xf>
    <xf borderId="0" fillId="0" fontId="12" numFmtId="1" xfId="0" applyAlignment="1" applyFont="1" applyNumberFormat="1">
      <alignment vertical="bottom"/>
    </xf>
    <xf borderId="0" fillId="0" fontId="20" numFmtId="1" xfId="0" applyAlignment="1" applyFont="1" applyNumberFormat="1">
      <alignment vertical="bottom"/>
    </xf>
    <xf borderId="9" fillId="0" fontId="20" numFmtId="1" xfId="0" applyAlignment="1" applyBorder="1" applyFont="1" applyNumberFormat="1">
      <alignment horizontal="right" vertical="bottom"/>
    </xf>
    <xf borderId="10" fillId="0" fontId="20" numFmtId="1" xfId="0" applyAlignment="1" applyBorder="1" applyFont="1" applyNumberFormat="1">
      <alignment horizontal="right" vertical="bottom"/>
    </xf>
    <xf borderId="11" fillId="0" fontId="20" numFmtId="1" xfId="0" applyAlignment="1" applyBorder="1" applyFont="1" applyNumberFormat="1">
      <alignment horizontal="right" vertical="bottom"/>
    </xf>
    <xf borderId="12" fillId="0" fontId="20" numFmtId="1" xfId="0" applyAlignment="1" applyBorder="1" applyFont="1" applyNumberFormat="1">
      <alignment horizontal="right" vertical="bottom"/>
    </xf>
    <xf borderId="0" fillId="0" fontId="20" numFmtId="1" xfId="0" applyAlignment="1" applyFont="1" applyNumberFormat="1">
      <alignment horizontal="right" vertical="bottom"/>
    </xf>
    <xf borderId="13" fillId="0" fontId="20" numFmtId="1" xfId="0" applyAlignment="1" applyBorder="1" applyFont="1" applyNumberFormat="1">
      <alignment horizontal="right" vertical="bottom"/>
    </xf>
    <xf borderId="14" fillId="0" fontId="20" numFmtId="1" xfId="0" applyAlignment="1" applyBorder="1" applyFont="1" applyNumberFormat="1">
      <alignment horizontal="right" vertical="bottom"/>
    </xf>
    <xf borderId="15" fillId="0" fontId="20" numFmtId="1" xfId="0" applyAlignment="1" applyBorder="1" applyFont="1" applyNumberFormat="1">
      <alignment horizontal="right" vertical="bottom"/>
    </xf>
    <xf borderId="16" fillId="0" fontId="20" numFmtId="1" xfId="0" applyAlignment="1" applyBorder="1" applyFont="1" applyNumberFormat="1">
      <alignment horizontal="right" vertical="bottom"/>
    </xf>
    <xf borderId="9" fillId="10" fontId="20" numFmtId="1" xfId="0" applyAlignment="1" applyBorder="1" applyFill="1" applyFont="1" applyNumberFormat="1">
      <alignment horizontal="right" vertical="bottom"/>
    </xf>
    <xf borderId="10" fillId="10" fontId="20" numFmtId="1" xfId="0" applyAlignment="1" applyBorder="1" applyFont="1" applyNumberFormat="1">
      <alignment horizontal="right" vertical="bottom"/>
    </xf>
    <xf borderId="12" fillId="10" fontId="20" numFmtId="1" xfId="0" applyAlignment="1" applyBorder="1" applyFont="1" applyNumberFormat="1">
      <alignment horizontal="right" vertical="bottom"/>
    </xf>
    <xf borderId="0" fillId="10" fontId="20" numFmtId="1" xfId="0" applyAlignment="1" applyFont="1" applyNumberFormat="1">
      <alignment horizontal="right" vertical="bottom"/>
    </xf>
    <xf borderId="13" fillId="10" fontId="20" numFmtId="1" xfId="0" applyAlignment="1" applyBorder="1" applyFont="1" applyNumberFormat="1">
      <alignment horizontal="right" vertical="bottom"/>
    </xf>
    <xf borderId="15" fillId="10" fontId="20" numFmtId="1" xfId="0" applyAlignment="1" applyBorder="1" applyFont="1" applyNumberFormat="1">
      <alignment horizontal="right" vertical="bottom"/>
    </xf>
    <xf borderId="16" fillId="10" fontId="20" numFmtId="1" xfId="0" applyAlignment="1" applyBorder="1" applyFont="1" applyNumberFormat="1">
      <alignment horizontal="right" vertical="bottom"/>
    </xf>
    <xf borderId="0" fillId="1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10" fillId="11" fontId="20" numFmtId="1" xfId="0" applyAlignment="1" applyBorder="1" applyFill="1" applyFont="1" applyNumberFormat="1">
      <alignment horizontal="right" vertical="bottom"/>
    </xf>
    <xf borderId="17" fillId="10" fontId="20" numFmtId="0" xfId="0" applyAlignment="1" applyBorder="1" applyFont="1">
      <alignment horizontal="right" vertical="bottom"/>
    </xf>
    <xf borderId="12" fillId="11" fontId="20" numFmtId="1" xfId="0" applyAlignment="1" applyBorder="1" applyFont="1" applyNumberFormat="1">
      <alignment horizontal="right" vertical="bottom"/>
    </xf>
    <xf borderId="18" fillId="10" fontId="20" numFmtId="0" xfId="0" applyAlignment="1" applyBorder="1" applyFont="1">
      <alignment horizontal="right" vertical="bottom"/>
    </xf>
    <xf borderId="0" fillId="11" fontId="20" numFmtId="1" xfId="0" applyAlignment="1" applyFont="1" applyNumberFormat="1">
      <alignment horizontal="right" vertical="bottom"/>
    </xf>
    <xf borderId="13" fillId="11" fontId="20" numFmtId="1" xfId="0" applyAlignment="1" applyBorder="1" applyFont="1" applyNumberFormat="1">
      <alignment horizontal="right" vertical="bottom"/>
    </xf>
    <xf borderId="15" fillId="11" fontId="20" numFmtId="1" xfId="0" applyAlignment="1" applyBorder="1" applyFont="1" applyNumberFormat="1">
      <alignment horizontal="right" vertical="bottom"/>
    </xf>
    <xf borderId="19" fillId="10" fontId="20" numFmtId="0" xfId="0" applyAlignment="1" applyBorder="1" applyFont="1">
      <alignment horizontal="right" vertical="bottom"/>
    </xf>
    <xf borderId="4" fillId="10" fontId="20" numFmtId="1" xfId="0" applyAlignment="1" applyBorder="1" applyFont="1" applyNumberFormat="1">
      <alignment horizontal="right" vertical="bottom"/>
    </xf>
    <xf borderId="20" fillId="10" fontId="20" numFmtId="1" xfId="0" applyAlignment="1" applyBorder="1" applyFont="1" applyNumberFormat="1">
      <alignment horizontal="right" vertical="bottom"/>
    </xf>
    <xf borderId="20" fillId="0" fontId="20" numFmtId="1" xfId="0" applyAlignment="1" applyBorder="1" applyFont="1" applyNumberFormat="1">
      <alignment horizontal="right" vertical="bottom"/>
    </xf>
    <xf borderId="1" fillId="10" fontId="20" numFmtId="0" xfId="0" applyAlignment="1" applyBorder="1" applyFont="1">
      <alignment horizontal="right" vertical="bottom"/>
    </xf>
    <xf borderId="21" fillId="0" fontId="20" numFmtId="1" xfId="0" applyAlignment="1" applyBorder="1" applyFont="1" applyNumberFormat="1">
      <alignment horizontal="right" vertical="bottom"/>
    </xf>
    <xf borderId="14" fillId="11" fontId="20" numFmtId="1" xfId="0" applyAlignment="1" applyBorder="1" applyFont="1" applyNumberFormat="1">
      <alignment horizontal="right" vertical="bottom"/>
    </xf>
    <xf borderId="0" fillId="0" fontId="20" numFmtId="1" xfId="0" applyAlignment="1" applyFont="1" applyNumberFormat="1">
      <alignment horizontal="center" vertical="bottom"/>
    </xf>
    <xf borderId="10" fillId="0" fontId="20" numFmtId="10" xfId="0" applyAlignment="1" applyBorder="1" applyFont="1" applyNumberFormat="1">
      <alignment horizontal="right" vertical="bottom"/>
    </xf>
    <xf borderId="11" fillId="0" fontId="20" numFmtId="10" xfId="0" applyAlignment="1" applyBorder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13" fillId="0" fontId="20" numFmtId="10" xfId="0" applyAlignment="1" applyBorder="1" applyFont="1" applyNumberFormat="1">
      <alignment horizontal="right" vertical="bottom"/>
    </xf>
    <xf borderId="13" fillId="10" fontId="20" numFmtId="10" xfId="0" applyAlignment="1" applyBorder="1" applyFont="1" applyNumberFormat="1">
      <alignment horizontal="right" vertical="bottom"/>
    </xf>
    <xf borderId="15" fillId="0" fontId="20" numFmtId="10" xfId="0" applyAlignment="1" applyBorder="1" applyFont="1" applyNumberFormat="1">
      <alignment horizontal="right" vertical="bottom"/>
    </xf>
    <xf borderId="16" fillId="10" fontId="20" numFmtId="10" xfId="0" applyAlignment="1" applyBorder="1" applyFont="1" applyNumberFormat="1">
      <alignment horizontal="right" vertical="bottom"/>
    </xf>
    <xf borderId="9" fillId="0" fontId="20" numFmtId="0" xfId="0" applyAlignment="1" applyBorder="1" applyFont="1">
      <alignment horizontal="right" vertical="bottom"/>
    </xf>
    <xf borderId="10" fillId="11" fontId="20" numFmtId="0" xfId="0" applyAlignment="1" applyBorder="1" applyFont="1">
      <alignment horizontal="right" vertical="bottom"/>
    </xf>
    <xf borderId="10" fillId="0" fontId="20" numFmtId="0" xfId="0" applyAlignment="1" applyBorder="1" applyFont="1">
      <alignment horizontal="right" vertical="bottom"/>
    </xf>
    <xf borderId="11" fillId="0" fontId="20" numFmtId="0" xfId="0" applyAlignment="1" applyBorder="1" applyFont="1">
      <alignment horizontal="right" vertical="bottom"/>
    </xf>
    <xf borderId="12" fillId="0" fontId="20" numFmtId="0" xfId="0" applyAlignment="1" applyBorder="1" applyFont="1">
      <alignment horizontal="right" vertical="bottom"/>
    </xf>
    <xf borderId="0" fillId="11" fontId="20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13" fillId="0" fontId="20" numFmtId="0" xfId="0" applyAlignment="1" applyBorder="1" applyFont="1">
      <alignment horizontal="right" vertical="bottom"/>
    </xf>
    <xf borderId="12" fillId="11" fontId="20" numFmtId="0" xfId="0" applyAlignment="1" applyBorder="1" applyFont="1">
      <alignment horizontal="right" vertical="bottom"/>
    </xf>
    <xf borderId="13" fillId="10" fontId="20" numFmtId="0" xfId="0" applyAlignment="1" applyBorder="1" applyFont="1">
      <alignment horizontal="right" vertical="bottom"/>
    </xf>
    <xf borderId="14" fillId="11" fontId="20" numFmtId="0" xfId="0" applyAlignment="1" applyBorder="1" applyFont="1">
      <alignment horizontal="right" vertical="bottom"/>
    </xf>
    <xf borderId="15" fillId="0" fontId="20" numFmtId="0" xfId="0" applyAlignment="1" applyBorder="1" applyFont="1">
      <alignment horizontal="right" vertical="bottom"/>
    </xf>
    <xf borderId="16" fillId="0" fontId="20" numFmtId="0" xfId="0" applyAlignment="1" applyBorder="1" applyFont="1">
      <alignment horizontal="right" vertical="bottom"/>
    </xf>
    <xf borderId="0" fillId="0" fontId="20" numFmtId="11" xfId="0" applyAlignment="1" applyFont="1" applyNumberFormat="1">
      <alignment horizontal="right" vertical="bottom"/>
    </xf>
    <xf borderId="9" fillId="10" fontId="20" numFmtId="0" xfId="0" applyAlignment="1" applyBorder="1" applyFont="1">
      <alignment horizontal="right" vertical="bottom"/>
    </xf>
    <xf borderId="10" fillId="10" fontId="20" numFmtId="0" xfId="0" applyAlignment="1" applyBorder="1" applyFont="1">
      <alignment horizontal="right" vertical="bottom"/>
    </xf>
    <xf borderId="12" fillId="10" fontId="20" numFmtId="0" xfId="0" applyAlignment="1" applyBorder="1" applyFont="1">
      <alignment horizontal="right" vertical="bottom"/>
    </xf>
    <xf borderId="14" fillId="0" fontId="20" numFmtId="0" xfId="0" applyAlignment="1" applyBorder="1" applyFont="1">
      <alignment horizontal="right" vertical="bottom"/>
    </xf>
    <xf borderId="15" fillId="10" fontId="20" numFmtId="0" xfId="0" applyAlignment="1" applyBorder="1" applyFont="1">
      <alignment horizontal="right" vertical="bottom"/>
    </xf>
    <xf borderId="16" fillId="10" fontId="20" numFmtId="0" xfId="0" applyAlignment="1" applyBorder="1" applyFont="1">
      <alignment horizontal="right" vertical="bottom"/>
    </xf>
    <xf borderId="11" fillId="10" fontId="20" numFmtId="0" xfId="0" applyAlignment="1" applyBorder="1" applyFont="1">
      <alignment horizontal="right" vertical="bottom"/>
    </xf>
    <xf borderId="13" fillId="11" fontId="20" numFmtId="0" xfId="0" applyAlignment="1" applyBorder="1" applyFont="1">
      <alignment horizontal="right" vertical="bottom"/>
    </xf>
    <xf borderId="14" fillId="10" fontId="20" numFmtId="0" xfId="0" applyAlignment="1" applyBorder="1" applyFont="1">
      <alignment horizontal="right" vertical="bottom"/>
    </xf>
    <xf borderId="15" fillId="11" fontId="20" numFmtId="0" xfId="0" applyAlignment="1" applyBorder="1" applyFont="1">
      <alignment horizontal="right" vertical="bottom"/>
    </xf>
    <xf borderId="0" fillId="12" fontId="21" numFmtId="0" xfId="0" applyAlignment="1" applyFill="1" applyFont="1">
      <alignment horizontal="center" readingOrder="0" shrinkToFit="0" wrapText="1"/>
    </xf>
    <xf borderId="0" fillId="12" fontId="21" numFmtId="0" xfId="0" applyAlignment="1" applyFont="1">
      <alignment readingOrder="0" shrinkToFit="0" wrapText="1"/>
    </xf>
    <xf borderId="0" fillId="0" fontId="22" numFmtId="0" xfId="0" applyFont="1"/>
    <xf borderId="0" fillId="0" fontId="12" numFmtId="0" xfId="0" applyFont="1"/>
    <xf borderId="0" fillId="0" fontId="23" numFmtId="0" xfId="0" applyFont="1"/>
    <xf borderId="0" fillId="0" fontId="24" numFmtId="0" xfId="0" applyFont="1"/>
    <xf borderId="0" fillId="0" fontId="24" numFmtId="0" xfId="0" applyAlignment="1" applyFont="1">
      <alignment readingOrder="0"/>
    </xf>
    <xf borderId="12" fillId="0" fontId="20" numFmtId="164" xfId="0" applyAlignment="1" applyBorder="1" applyFont="1" applyNumberFormat="1">
      <alignment horizontal="right" vertical="bottom"/>
    </xf>
    <xf borderId="0" fillId="11" fontId="20" numFmtId="164" xfId="0" applyAlignment="1" applyFont="1" applyNumberFormat="1">
      <alignment horizontal="right" vertical="bottom"/>
    </xf>
    <xf borderId="0" fillId="0" fontId="20" numFmtId="164" xfId="0" applyAlignment="1" applyFont="1" applyNumberFormat="1">
      <alignment horizontal="right" vertical="bottom"/>
    </xf>
    <xf borderId="13" fillId="0" fontId="20" numFmtId="164" xfId="0" applyAlignment="1" applyBorder="1" applyFont="1" applyNumberFormat="1">
      <alignment horizontal="right" vertical="bottom"/>
    </xf>
    <xf borderId="0" fillId="0" fontId="25" numFmtId="0" xfId="0" applyFont="1"/>
    <xf borderId="22" fillId="13" fontId="21" numFmtId="0" xfId="0" applyAlignment="1" applyBorder="1" applyFill="1" applyFont="1">
      <alignment horizontal="center"/>
    </xf>
    <xf borderId="36" fillId="14" fontId="21" numFmtId="0" xfId="0" applyAlignment="1" applyBorder="1" applyFill="1" applyFont="1">
      <alignment horizontal="center" shrinkToFit="0" wrapText="1"/>
    </xf>
    <xf borderId="2" fillId="15" fontId="21" numFmtId="0" xfId="0" applyAlignment="1" applyBorder="1" applyFill="1" applyFont="1">
      <alignment horizontal="center" shrinkToFit="0" wrapText="1"/>
    </xf>
    <xf borderId="25" fillId="0" fontId="25" numFmtId="0" xfId="0" applyBorder="1" applyFont="1"/>
    <xf borderId="37" fillId="0" fontId="12" numFmtId="0" xfId="0" applyBorder="1" applyFont="1"/>
    <xf borderId="3" fillId="0" fontId="12" numFmtId="0" xfId="0" applyBorder="1" applyFont="1"/>
    <xf borderId="12" fillId="11" fontId="20" numFmtId="164" xfId="0" applyAlignment="1" applyBorder="1" applyFont="1" applyNumberFormat="1">
      <alignment horizontal="right" vertical="bottom"/>
    </xf>
    <xf borderId="22" fillId="12" fontId="21" numFmtId="0" xfId="0" applyAlignment="1" applyBorder="1" applyFont="1">
      <alignment horizontal="center" readingOrder="0" shrinkToFit="0" wrapText="1"/>
    </xf>
    <xf borderId="22" fillId="16" fontId="21" numFmtId="0" xfId="0" applyAlignment="1" applyBorder="1" applyFill="1" applyFont="1">
      <alignment horizontal="center"/>
    </xf>
    <xf borderId="22" fillId="12" fontId="21" numFmtId="0" xfId="0" applyAlignment="1" applyBorder="1" applyFont="1">
      <alignment horizontal="center" shrinkToFit="0" wrapText="1"/>
    </xf>
    <xf borderId="38" fillId="12" fontId="21" numFmtId="0" xfId="0" applyAlignment="1" applyBorder="1" applyFont="1">
      <alignment readingOrder="0" shrinkToFit="0" wrapText="1"/>
    </xf>
    <xf borderId="5" fillId="0" fontId="12" numFmtId="0" xfId="0" applyBorder="1" applyFont="1"/>
    <xf borderId="6" fillId="15" fontId="21" numFmtId="0" xfId="0" applyAlignment="1" applyBorder="1" applyFont="1">
      <alignment horizontal="center" shrinkToFit="0" wrapText="1"/>
    </xf>
    <xf borderId="4" fillId="12" fontId="21" numFmtId="0" xfId="0" applyAlignment="1" applyBorder="1" applyFont="1">
      <alignment readingOrder="0" shrinkToFit="0" wrapText="1"/>
    </xf>
    <xf borderId="6" fillId="17" fontId="21" numFmtId="0" xfId="0" applyAlignment="1" applyBorder="1" applyFill="1" applyFont="1">
      <alignment horizontal="center" shrinkToFit="0" wrapText="1"/>
    </xf>
    <xf borderId="29" fillId="0" fontId="25" numFmtId="0" xfId="0" applyBorder="1" applyFont="1"/>
    <xf borderId="30" fillId="0" fontId="12" numFmtId="0" xfId="0" applyBorder="1" applyFont="1"/>
    <xf borderId="7" fillId="0" fontId="12" numFmtId="0" xfId="0" applyBorder="1" applyFont="1"/>
    <xf borderId="32" fillId="0" fontId="25" numFmtId="0" xfId="0" applyBorder="1" applyFont="1"/>
    <xf borderId="0" fillId="0" fontId="20" numFmtId="0" xfId="0" applyAlignment="1" applyFont="1">
      <alignment readingOrder="0" vertical="bottom"/>
    </xf>
    <xf borderId="13" fillId="10" fontId="20" numFmtId="164" xfId="0" applyAlignment="1" applyBorder="1" applyFont="1" applyNumberFormat="1">
      <alignment horizontal="right" vertical="bottom"/>
    </xf>
    <xf borderId="0" fillId="0" fontId="12" numFmtId="0" xfId="0" applyAlignment="1" applyFont="1">
      <alignment shrinkToFit="0" vertical="bottom" wrapText="1"/>
    </xf>
    <xf borderId="14" fillId="11" fontId="20" numFmtId="164" xfId="0" applyAlignment="1" applyBorder="1" applyFont="1" applyNumberFormat="1">
      <alignment horizontal="right" vertical="bottom"/>
    </xf>
    <xf borderId="15" fillId="0" fontId="20" numFmtId="164" xfId="0" applyAlignment="1" applyBorder="1" applyFont="1" applyNumberFormat="1">
      <alignment horizontal="right" vertical="bottom"/>
    </xf>
    <xf borderId="16" fillId="0" fontId="20" numFmtId="164" xfId="0" applyAlignment="1" applyBorder="1" applyFont="1" applyNumberFormat="1">
      <alignment horizontal="right" vertical="bottom"/>
    </xf>
    <xf borderId="0" fillId="10" fontId="20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295275</xdr:colOff>
      <xdr:row>0</xdr:row>
      <xdr:rowOff>361950</xdr:rowOff>
    </xdr:from>
    <xdr:ext cx="4876800" cy="2857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0</xdr:row>
      <xdr:rowOff>133350</xdr:rowOff>
    </xdr:from>
    <xdr:ext cx="4581525" cy="27432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.88"/>
    <col customWidth="1" min="3" max="3" width="38.75"/>
    <col customWidth="1" min="5" max="5" width="24.5"/>
    <col customWidth="1" min="6" max="6" width="63.5"/>
  </cols>
  <sheetData>
    <row r="1">
      <c r="A1" s="1"/>
      <c r="B1" s="2"/>
      <c r="C1" s="3"/>
      <c r="D1" s="4"/>
      <c r="E1" s="5" t="s">
        <v>0</v>
      </c>
      <c r="F1" s="5" t="s">
        <v>1</v>
      </c>
      <c r="G1" s="4"/>
      <c r="H1" s="4"/>
      <c r="K1" s="4"/>
      <c r="L1" s="4"/>
      <c r="M1" s="4"/>
      <c r="N1" s="4"/>
      <c r="O1" s="4"/>
      <c r="P1" s="4"/>
      <c r="Q1" s="4"/>
      <c r="R1" s="4"/>
      <c r="S1" s="4"/>
    </row>
    <row r="2">
      <c r="A2" s="2"/>
      <c r="B2" s="2"/>
      <c r="C2" s="6" t="s">
        <v>2</v>
      </c>
      <c r="D2" s="4"/>
      <c r="E2" s="7" t="s">
        <v>3</v>
      </c>
      <c r="F2" s="8" t="s">
        <v>4</v>
      </c>
      <c r="G2" s="4"/>
      <c r="H2" s="4"/>
      <c r="I2" s="9"/>
      <c r="K2" s="4"/>
      <c r="L2" s="4"/>
      <c r="M2" s="10"/>
      <c r="N2" s="4"/>
      <c r="O2" s="4"/>
      <c r="P2" s="4"/>
      <c r="Q2" s="4"/>
      <c r="R2" s="4"/>
      <c r="S2" s="4"/>
    </row>
    <row r="3">
      <c r="A3" s="2"/>
      <c r="B3" s="11"/>
      <c r="C3" s="3"/>
      <c r="D3" s="4"/>
      <c r="E3" s="7" t="s">
        <v>5</v>
      </c>
      <c r="F3" s="8" t="s">
        <v>6</v>
      </c>
      <c r="G3" s="4"/>
      <c r="H3" s="4"/>
      <c r="K3" s="4"/>
      <c r="L3" s="4"/>
      <c r="M3" s="4"/>
      <c r="N3" s="4"/>
      <c r="O3" s="4"/>
      <c r="P3" s="4"/>
      <c r="Q3" s="4"/>
      <c r="R3" s="4"/>
      <c r="S3" s="4"/>
    </row>
    <row r="4">
      <c r="A4" s="12" t="s">
        <v>7</v>
      </c>
      <c r="B4" s="13"/>
      <c r="C4" s="14" t="s">
        <v>8</v>
      </c>
      <c r="D4" s="4"/>
      <c r="E4" s="7" t="s">
        <v>9</v>
      </c>
      <c r="F4" s="8" t="s">
        <v>10</v>
      </c>
      <c r="G4" s="4"/>
      <c r="H4" s="4"/>
      <c r="I4" s="9"/>
      <c r="K4" s="10"/>
      <c r="M4" s="4"/>
      <c r="N4" s="10"/>
      <c r="P4" s="4"/>
      <c r="Q4" s="4"/>
      <c r="R4" s="4"/>
      <c r="S4" s="4"/>
    </row>
    <row r="5">
      <c r="A5" s="2"/>
      <c r="B5" s="15"/>
      <c r="C5" s="3"/>
      <c r="D5" s="4"/>
      <c r="E5" s="7" t="s">
        <v>11</v>
      </c>
      <c r="F5" s="8" t="s">
        <v>12</v>
      </c>
      <c r="G5" s="4"/>
      <c r="H5" s="4"/>
      <c r="K5" s="4"/>
      <c r="L5" s="4"/>
      <c r="M5" s="4"/>
      <c r="N5" s="4"/>
      <c r="O5" s="4"/>
      <c r="P5" s="4"/>
      <c r="Q5" s="4"/>
      <c r="R5" s="4"/>
      <c r="S5" s="4"/>
    </row>
    <row r="6">
      <c r="A6" s="2"/>
      <c r="B6" s="16"/>
      <c r="C6" s="6" t="s">
        <v>13</v>
      </c>
      <c r="D6" s="4"/>
      <c r="G6" s="4"/>
      <c r="H6" s="4"/>
      <c r="I6" s="9"/>
      <c r="J6" s="2"/>
      <c r="K6" s="4"/>
      <c r="L6" s="4"/>
      <c r="M6" s="4"/>
      <c r="N6" s="4"/>
      <c r="O6" s="4"/>
      <c r="P6" s="4"/>
      <c r="Q6" s="4"/>
      <c r="R6" s="4"/>
      <c r="S6" s="4"/>
    </row>
    <row r="7">
      <c r="A7" s="2"/>
      <c r="B7" s="15"/>
      <c r="C7" s="3"/>
      <c r="D7" s="4"/>
      <c r="E7" s="17"/>
      <c r="G7" s="4"/>
      <c r="H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8"/>
      <c r="B8" s="16"/>
      <c r="C8" s="6" t="s">
        <v>14</v>
      </c>
      <c r="D8" s="4"/>
      <c r="E8" s="19"/>
      <c r="F8" s="2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8"/>
      <c r="B9" s="15"/>
      <c r="C9" s="3"/>
      <c r="D9" s="4"/>
      <c r="E9" s="4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2"/>
      <c r="B10" s="16"/>
      <c r="C10" s="6" t="s">
        <v>15</v>
      </c>
      <c r="D10" s="4"/>
      <c r="E10" s="4"/>
      <c r="F10" s="1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2"/>
      <c r="B11" s="15"/>
      <c r="C11" s="3"/>
      <c r="D11" s="4"/>
      <c r="E11" s="4"/>
      <c r="F11" s="1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2"/>
      <c r="B12" s="16"/>
      <c r="C12" s="6" t="s">
        <v>16</v>
      </c>
      <c r="D12" s="4"/>
      <c r="E12" s="4"/>
      <c r="F12" s="1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2"/>
      <c r="B13" s="15"/>
      <c r="C13" s="3"/>
      <c r="D13" s="4"/>
      <c r="E13" s="4"/>
      <c r="F13" s="1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2"/>
      <c r="B14" s="16"/>
      <c r="C14" s="6" t="s">
        <v>17</v>
      </c>
      <c r="D14" s="4"/>
      <c r="E14" s="4"/>
      <c r="F14" s="1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2"/>
      <c r="B15" s="16"/>
      <c r="C15" s="3"/>
      <c r="D15" s="4"/>
      <c r="E15" s="19"/>
      <c r="F15" s="2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2"/>
      <c r="B16" s="13"/>
      <c r="C16" s="6" t="s">
        <v>18</v>
      </c>
      <c r="D16" s="4"/>
      <c r="E16" s="4"/>
      <c r="F16" s="1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2"/>
      <c r="B17" s="2"/>
      <c r="C17" s="3"/>
      <c r="D17" s="4"/>
      <c r="E17" s="4"/>
      <c r="F17" s="17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2"/>
      <c r="B18" s="2"/>
      <c r="C18" s="2"/>
      <c r="D18" s="4"/>
      <c r="E18" s="4"/>
      <c r="F18" s="1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2"/>
      <c r="B19" s="2"/>
      <c r="C19" s="3"/>
      <c r="D19" s="4"/>
      <c r="E19" s="4"/>
      <c r="F19" s="1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2"/>
      <c r="B20" s="2"/>
      <c r="C20" s="3"/>
      <c r="D20" s="4"/>
      <c r="E20" s="4"/>
      <c r="F20" s="1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2"/>
      <c r="B21" s="2"/>
      <c r="C21" s="3"/>
      <c r="D21" s="4"/>
      <c r="E21" s="4"/>
      <c r="F21" s="1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2"/>
      <c r="B22" s="2"/>
      <c r="C22" s="3"/>
      <c r="D22" s="4"/>
      <c r="E22" s="19"/>
      <c r="F22" s="2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2"/>
      <c r="B23" s="2"/>
      <c r="C23" s="3"/>
      <c r="D23" s="4"/>
      <c r="E23" s="4"/>
      <c r="F23" s="1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2"/>
      <c r="B24" s="2"/>
      <c r="C24" s="3"/>
      <c r="D24" s="4"/>
      <c r="E24" s="4"/>
      <c r="F24" s="17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2"/>
      <c r="B25" s="2"/>
      <c r="C25" s="3"/>
      <c r="D25" s="4"/>
      <c r="E25" s="4"/>
      <c r="F25" s="1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2"/>
      <c r="B26" s="2"/>
      <c r="C26" s="3"/>
      <c r="D26" s="4"/>
      <c r="E26" s="4"/>
      <c r="F26" s="1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2"/>
      <c r="B27" s="2"/>
      <c r="C27" s="3"/>
      <c r="D27" s="4"/>
      <c r="E27" s="19"/>
      <c r="F27" s="2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2"/>
      <c r="B28" s="2"/>
      <c r="C28" s="3"/>
      <c r="D28" s="4"/>
      <c r="E28" s="4"/>
      <c r="F28" s="1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2"/>
      <c r="B29" s="2"/>
      <c r="C29" s="3"/>
      <c r="D29" s="4"/>
      <c r="E29" s="4"/>
      <c r="F29" s="1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2"/>
      <c r="B30" s="2"/>
      <c r="C30" s="3"/>
      <c r="D30" s="4"/>
      <c r="E30" s="4"/>
      <c r="F30" s="1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2"/>
      <c r="B31" s="2"/>
      <c r="C31" s="3"/>
      <c r="D31" s="4"/>
      <c r="E31" s="4"/>
      <c r="F31" s="1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2"/>
      <c r="B32" s="2"/>
      <c r="C32" s="3"/>
      <c r="D32" s="4"/>
      <c r="E32" s="19"/>
      <c r="F32" s="2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2"/>
      <c r="B33" s="2"/>
      <c r="C33" s="3"/>
      <c r="E33" s="4"/>
      <c r="F33" s="1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2"/>
      <c r="B34" s="2"/>
      <c r="C34" s="3"/>
      <c r="E34" s="4"/>
      <c r="F34" s="1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2"/>
      <c r="B35" s="2"/>
      <c r="C35" s="3"/>
      <c r="E35" s="4"/>
      <c r="F35" s="1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2"/>
      <c r="B36" s="2"/>
      <c r="C36" s="3"/>
      <c r="E36" s="4"/>
      <c r="F36" s="1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2"/>
      <c r="B37" s="2"/>
      <c r="C37" s="3"/>
      <c r="E37" s="4"/>
      <c r="F37" s="1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2"/>
      <c r="B38" s="2"/>
      <c r="C38" s="3"/>
      <c r="E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2"/>
      <c r="B39" s="2"/>
      <c r="C39" s="3"/>
      <c r="D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2"/>
      <c r="B40" s="2"/>
      <c r="C40" s="3"/>
      <c r="D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2"/>
      <c r="B41" s="2"/>
      <c r="C41" s="3"/>
      <c r="D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2"/>
      <c r="B42" s="2"/>
      <c r="C42" s="3"/>
      <c r="D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2"/>
      <c r="B43" s="2"/>
      <c r="C43" s="3"/>
      <c r="D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2"/>
      <c r="B44" s="2"/>
      <c r="C44" s="3"/>
      <c r="D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2"/>
      <c r="B45" s="2"/>
      <c r="C45" s="3"/>
      <c r="D45" s="4"/>
      <c r="E45" s="4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2"/>
      <c r="B46" s="2"/>
      <c r="C46" s="3"/>
      <c r="D46" s="4"/>
      <c r="E46" s="4"/>
      <c r="F46" s="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2"/>
      <c r="B47" s="2"/>
      <c r="C47" s="3"/>
      <c r="D47" s="4"/>
      <c r="E47" s="4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2"/>
      <c r="B48" s="2"/>
      <c r="C48" s="3"/>
      <c r="D48" s="4"/>
      <c r="E48" s="4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2"/>
      <c r="B49" s="2"/>
      <c r="C49" s="3"/>
      <c r="D49" s="4"/>
      <c r="E49" s="4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2"/>
      <c r="B50" s="2"/>
      <c r="C50" s="3"/>
      <c r="D50" s="4"/>
      <c r="E50" s="4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2"/>
      <c r="B51" s="2"/>
      <c r="C51" s="3"/>
      <c r="D51" s="4"/>
      <c r="E51" s="4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2"/>
      <c r="B52" s="2"/>
      <c r="C52" s="3"/>
      <c r="D52" s="4"/>
      <c r="E52" s="4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2"/>
      <c r="B53" s="2"/>
      <c r="C53" s="3"/>
      <c r="D53" s="4"/>
      <c r="E53" s="4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2"/>
      <c r="B54" s="2"/>
      <c r="C54" s="3"/>
      <c r="D54" s="4"/>
      <c r="E54" s="4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2"/>
      <c r="B55" s="2"/>
      <c r="C55" s="3"/>
      <c r="D55" s="4"/>
      <c r="E55" s="4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2"/>
      <c r="B56" s="2"/>
      <c r="C56" s="3"/>
      <c r="D56" s="4"/>
      <c r="E56" s="4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2"/>
      <c r="B57" s="2"/>
      <c r="C57" s="3"/>
      <c r="D57" s="4"/>
      <c r="E57" s="4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2"/>
      <c r="B58" s="2"/>
      <c r="C58" s="3"/>
      <c r="D58" s="4"/>
      <c r="E58" s="4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2"/>
      <c r="B59" s="2"/>
      <c r="C59" s="3"/>
      <c r="D59" s="4"/>
      <c r="E59" s="4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2"/>
      <c r="B60" s="2"/>
      <c r="C60" s="3"/>
      <c r="D60" s="4"/>
      <c r="E60" s="4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2"/>
      <c r="B61" s="2"/>
      <c r="C61" s="3"/>
      <c r="D61" s="4"/>
      <c r="E61" s="4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2"/>
      <c r="B62" s="2"/>
      <c r="C62" s="3"/>
      <c r="D62" s="4"/>
      <c r="E62" s="4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2"/>
      <c r="B63" s="2"/>
      <c r="C63" s="3"/>
      <c r="D63" s="4"/>
      <c r="E63" s="4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2"/>
      <c r="B64" s="2"/>
      <c r="C64" s="3"/>
      <c r="D64" s="4"/>
      <c r="E64" s="4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2"/>
      <c r="B65" s="2"/>
      <c r="C65" s="3"/>
      <c r="D65" s="4"/>
      <c r="E65" s="4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2"/>
      <c r="B66" s="2"/>
      <c r="C66" s="3"/>
      <c r="D66" s="4"/>
      <c r="E66" s="4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2"/>
      <c r="B67" s="2"/>
      <c r="C67" s="3"/>
      <c r="D67" s="4"/>
      <c r="E67" s="4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2"/>
      <c r="B68" s="2"/>
      <c r="C68" s="3"/>
      <c r="D68" s="4"/>
      <c r="E68" s="4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>
      <c r="A69" s="2"/>
      <c r="B69" s="2"/>
      <c r="C69" s="3"/>
      <c r="D69" s="4"/>
      <c r="E69" s="4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>
      <c r="A70" s="2"/>
      <c r="B70" s="2"/>
      <c r="C70" s="3"/>
      <c r="D70" s="4"/>
      <c r="E70" s="4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2"/>
      <c r="B71" s="2"/>
      <c r="C71" s="3"/>
      <c r="D71" s="4"/>
      <c r="E71" s="4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2"/>
      <c r="B72" s="2"/>
      <c r="C72" s="3"/>
      <c r="D72" s="4"/>
      <c r="E72" s="4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2"/>
      <c r="B73" s="2"/>
      <c r="C73" s="3"/>
      <c r="D73" s="4"/>
      <c r="E73" s="4"/>
      <c r="F73" s="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2"/>
      <c r="B74" s="2"/>
      <c r="C74" s="3"/>
      <c r="D74" s="4"/>
      <c r="E74" s="4"/>
      <c r="F74" s="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2"/>
      <c r="B75" s="2"/>
      <c r="C75" s="3"/>
      <c r="D75" s="4"/>
      <c r="E75" s="4"/>
      <c r="F75" s="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2"/>
      <c r="B76" s="2"/>
      <c r="C76" s="3"/>
      <c r="D76" s="4"/>
      <c r="E76" s="4"/>
      <c r="F76" s="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2"/>
      <c r="B77" s="2"/>
      <c r="C77" s="3"/>
      <c r="D77" s="4"/>
      <c r="E77" s="4"/>
      <c r="F77" s="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2"/>
      <c r="B78" s="2"/>
      <c r="C78" s="3"/>
      <c r="D78" s="4"/>
      <c r="E78" s="4"/>
      <c r="F78" s="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2"/>
      <c r="B79" s="2"/>
      <c r="C79" s="3"/>
      <c r="D79" s="4"/>
      <c r="E79" s="4"/>
      <c r="F79" s="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2"/>
      <c r="B80" s="2"/>
      <c r="C80" s="3"/>
      <c r="D80" s="4"/>
      <c r="E80" s="4"/>
      <c r="F80" s="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2"/>
      <c r="B81" s="2"/>
      <c r="C81" s="3"/>
      <c r="D81" s="4"/>
      <c r="E81" s="4"/>
      <c r="F81" s="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2"/>
      <c r="B82" s="2"/>
      <c r="C82" s="3"/>
      <c r="D82" s="4"/>
      <c r="E82" s="4"/>
      <c r="F82" s="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2"/>
      <c r="B83" s="2"/>
      <c r="C83" s="3"/>
      <c r="D83" s="4"/>
      <c r="E83" s="4"/>
      <c r="F83" s="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2"/>
      <c r="B84" s="2"/>
      <c r="C84" s="3"/>
      <c r="D84" s="4"/>
      <c r="E84" s="4"/>
      <c r="F84" s="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>
      <c r="A85" s="2"/>
      <c r="B85" s="2"/>
      <c r="C85" s="3"/>
      <c r="D85" s="4"/>
      <c r="E85" s="4"/>
      <c r="F85" s="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2"/>
      <c r="B86" s="2"/>
      <c r="C86" s="3"/>
      <c r="D86" s="4"/>
      <c r="E86" s="4"/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2"/>
      <c r="B87" s="2"/>
      <c r="C87" s="3"/>
      <c r="D87" s="4"/>
      <c r="E87" s="4"/>
      <c r="F87" s="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>
      <c r="A88" s="2"/>
      <c r="B88" s="2"/>
      <c r="C88" s="3"/>
      <c r="D88" s="4"/>
      <c r="E88" s="4"/>
      <c r="F88" s="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2"/>
      <c r="B89" s="2"/>
      <c r="C89" s="3"/>
      <c r="D89" s="4"/>
      <c r="E89" s="4"/>
      <c r="F89" s="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2"/>
      <c r="B90" s="2"/>
      <c r="C90" s="3"/>
      <c r="D90" s="4"/>
      <c r="E90" s="4"/>
      <c r="F90" s="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2"/>
      <c r="B91" s="2"/>
      <c r="C91" s="3"/>
      <c r="D91" s="4"/>
      <c r="E91" s="4"/>
      <c r="F91" s="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2"/>
      <c r="B92" s="2"/>
      <c r="C92" s="3"/>
      <c r="D92" s="4"/>
      <c r="E92" s="4"/>
      <c r="F92" s="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2"/>
      <c r="B93" s="2"/>
      <c r="C93" s="3"/>
      <c r="D93" s="4"/>
      <c r="E93" s="4"/>
      <c r="F93" s="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2"/>
      <c r="B94" s="2"/>
      <c r="C94" s="3"/>
      <c r="D94" s="4"/>
      <c r="E94" s="4"/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2"/>
      <c r="B95" s="2"/>
      <c r="C95" s="3"/>
      <c r="D95" s="4"/>
      <c r="E95" s="4"/>
      <c r="F95" s="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2"/>
      <c r="B96" s="2"/>
      <c r="C96" s="3"/>
      <c r="D96" s="4"/>
      <c r="E96" s="4"/>
      <c r="F96" s="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2"/>
      <c r="B97" s="2"/>
      <c r="C97" s="3"/>
      <c r="D97" s="4"/>
      <c r="E97" s="4"/>
      <c r="F97" s="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2"/>
      <c r="B98" s="2"/>
      <c r="C98" s="3"/>
      <c r="D98" s="4"/>
      <c r="E98" s="4"/>
      <c r="F98" s="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2"/>
      <c r="B99" s="2"/>
      <c r="C99" s="3"/>
      <c r="D99" s="4"/>
      <c r="E99" s="4"/>
      <c r="F99" s="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2"/>
      <c r="B100" s="2"/>
      <c r="C100" s="3"/>
      <c r="D100" s="4"/>
      <c r="E100" s="4"/>
      <c r="F100" s="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2"/>
      <c r="B101" s="2"/>
      <c r="C101" s="3"/>
      <c r="D101" s="4"/>
      <c r="E101" s="4"/>
      <c r="F101" s="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>
      <c r="A102" s="2"/>
      <c r="B102" s="2"/>
      <c r="C102" s="3"/>
      <c r="D102" s="4"/>
      <c r="E102" s="4"/>
      <c r="F102" s="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2"/>
      <c r="B103" s="2"/>
      <c r="C103" s="3"/>
      <c r="D103" s="4"/>
      <c r="E103" s="4"/>
      <c r="F103" s="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2"/>
      <c r="B104" s="2"/>
      <c r="C104" s="3"/>
      <c r="D104" s="4"/>
      <c r="E104" s="4"/>
      <c r="F104" s="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2"/>
      <c r="B105" s="2"/>
      <c r="C105" s="3"/>
      <c r="D105" s="4"/>
      <c r="E105" s="4"/>
      <c r="F105" s="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2"/>
      <c r="B106" s="2"/>
      <c r="C106" s="3"/>
      <c r="D106" s="4"/>
      <c r="E106" s="4"/>
      <c r="F106" s="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2"/>
      <c r="B107" s="2"/>
      <c r="C107" s="3"/>
      <c r="D107" s="4"/>
      <c r="E107" s="4"/>
      <c r="F107" s="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2"/>
      <c r="B108" s="2"/>
      <c r="C108" s="3"/>
      <c r="D108" s="4"/>
      <c r="E108" s="4"/>
      <c r="F108" s="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2"/>
      <c r="B109" s="2"/>
      <c r="C109" s="3"/>
      <c r="D109" s="4"/>
      <c r="E109" s="4"/>
      <c r="F109" s="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2"/>
      <c r="B110" s="2"/>
      <c r="C110" s="3"/>
      <c r="D110" s="4"/>
      <c r="E110" s="4"/>
      <c r="F110" s="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2"/>
      <c r="B111" s="2"/>
      <c r="C111" s="3"/>
      <c r="D111" s="4"/>
      <c r="E111" s="4"/>
      <c r="F111" s="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2"/>
      <c r="B112" s="2"/>
      <c r="C112" s="3"/>
      <c r="D112" s="4"/>
      <c r="E112" s="4"/>
      <c r="F112" s="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2"/>
      <c r="B113" s="2"/>
      <c r="C113" s="3"/>
      <c r="D113" s="4"/>
      <c r="E113" s="4"/>
      <c r="F113" s="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2"/>
      <c r="B114" s="2"/>
      <c r="C114" s="3"/>
      <c r="D114" s="4"/>
      <c r="E114" s="4"/>
      <c r="F114" s="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2"/>
      <c r="B115" s="2"/>
      <c r="C115" s="3"/>
      <c r="D115" s="4"/>
      <c r="E115" s="4"/>
      <c r="F115" s="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2"/>
      <c r="B116" s="2"/>
      <c r="C116" s="3"/>
      <c r="D116" s="4"/>
      <c r="E116" s="4"/>
      <c r="F116" s="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2"/>
      <c r="B117" s="2"/>
      <c r="C117" s="3"/>
      <c r="D117" s="4"/>
      <c r="E117" s="4"/>
      <c r="F117" s="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2"/>
      <c r="B118" s="2"/>
      <c r="C118" s="3"/>
      <c r="D118" s="4"/>
      <c r="E118" s="4"/>
      <c r="F118" s="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2"/>
      <c r="B119" s="2"/>
      <c r="C119" s="3"/>
      <c r="D119" s="4"/>
      <c r="E119" s="4"/>
      <c r="F119" s="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2"/>
      <c r="B120" s="2"/>
      <c r="C120" s="3"/>
      <c r="D120" s="4"/>
      <c r="E120" s="4"/>
      <c r="F120" s="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2"/>
      <c r="B121" s="2"/>
      <c r="C121" s="3"/>
      <c r="D121" s="4"/>
      <c r="E121" s="4"/>
      <c r="F121" s="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2"/>
      <c r="B122" s="2"/>
      <c r="C122" s="3"/>
      <c r="D122" s="4"/>
      <c r="E122" s="4"/>
      <c r="F122" s="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2"/>
      <c r="B123" s="2"/>
      <c r="C123" s="3"/>
      <c r="D123" s="4"/>
      <c r="E123" s="4"/>
      <c r="F123" s="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2"/>
      <c r="B124" s="2"/>
      <c r="C124" s="3"/>
      <c r="D124" s="4"/>
      <c r="E124" s="4"/>
      <c r="F124" s="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2"/>
      <c r="B125" s="2"/>
      <c r="C125" s="3"/>
      <c r="D125" s="4"/>
      <c r="E125" s="4"/>
      <c r="F125" s="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2"/>
      <c r="B126" s="2"/>
      <c r="C126" s="3"/>
      <c r="D126" s="4"/>
      <c r="E126" s="4"/>
      <c r="F126" s="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2"/>
      <c r="B127" s="2"/>
      <c r="C127" s="3"/>
      <c r="D127" s="4"/>
      <c r="E127" s="4"/>
      <c r="F127" s="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2"/>
      <c r="B128" s="2"/>
      <c r="C128" s="3"/>
      <c r="D128" s="4"/>
      <c r="E128" s="4"/>
      <c r="F128" s="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2"/>
      <c r="B129" s="2"/>
      <c r="C129" s="3"/>
      <c r="D129" s="4"/>
      <c r="E129" s="4"/>
      <c r="F129" s="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2"/>
      <c r="B130" s="2"/>
      <c r="C130" s="3"/>
      <c r="D130" s="4"/>
      <c r="E130" s="4"/>
      <c r="F130" s="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2"/>
      <c r="B131" s="2"/>
      <c r="C131" s="3"/>
      <c r="D131" s="4"/>
      <c r="E131" s="4"/>
      <c r="F131" s="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2"/>
      <c r="B132" s="2"/>
      <c r="C132" s="3"/>
      <c r="D132" s="4"/>
      <c r="E132" s="4"/>
      <c r="F132" s="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2"/>
      <c r="B133" s="2"/>
      <c r="C133" s="3"/>
      <c r="D133" s="4"/>
      <c r="E133" s="4"/>
      <c r="F133" s="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2"/>
      <c r="B134" s="2"/>
      <c r="C134" s="3"/>
      <c r="D134" s="4"/>
      <c r="E134" s="4"/>
      <c r="F134" s="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2"/>
      <c r="B135" s="2"/>
      <c r="C135" s="3"/>
      <c r="D135" s="4"/>
      <c r="E135" s="4"/>
      <c r="F135" s="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2"/>
      <c r="B136" s="2"/>
      <c r="C136" s="3"/>
      <c r="D136" s="4"/>
      <c r="E136" s="4"/>
      <c r="F136" s="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2"/>
      <c r="B137" s="2"/>
      <c r="C137" s="3"/>
      <c r="D137" s="4"/>
      <c r="E137" s="4"/>
      <c r="F137" s="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2"/>
      <c r="B138" s="2"/>
      <c r="C138" s="3"/>
      <c r="D138" s="4"/>
      <c r="E138" s="4"/>
      <c r="F138" s="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2"/>
      <c r="B139" s="2"/>
      <c r="C139" s="3"/>
      <c r="D139" s="4"/>
      <c r="E139" s="4"/>
      <c r="F139" s="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2"/>
      <c r="B140" s="2"/>
      <c r="C140" s="3"/>
      <c r="D140" s="4"/>
      <c r="E140" s="4"/>
      <c r="F140" s="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2"/>
      <c r="B141" s="2"/>
      <c r="C141" s="3"/>
      <c r="D141" s="4"/>
      <c r="E141" s="4"/>
      <c r="F141" s="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2"/>
      <c r="B142" s="2"/>
      <c r="C142" s="3"/>
      <c r="D142" s="4"/>
      <c r="E142" s="4"/>
      <c r="F142" s="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2"/>
      <c r="B143" s="2"/>
      <c r="C143" s="3"/>
      <c r="D143" s="4"/>
      <c r="E143" s="4"/>
      <c r="F143" s="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2"/>
      <c r="B144" s="2"/>
      <c r="C144" s="3"/>
      <c r="D144" s="4"/>
      <c r="E144" s="4"/>
      <c r="F144" s="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2"/>
      <c r="B145" s="2"/>
      <c r="C145" s="3"/>
      <c r="D145" s="4"/>
      <c r="E145" s="4"/>
      <c r="F145" s="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2"/>
      <c r="B146" s="2"/>
      <c r="C146" s="3"/>
      <c r="D146" s="4"/>
      <c r="E146" s="4"/>
      <c r="F146" s="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2"/>
      <c r="B147" s="2"/>
      <c r="C147" s="3"/>
      <c r="D147" s="4"/>
      <c r="E147" s="4"/>
      <c r="F147" s="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2"/>
      <c r="B148" s="2"/>
      <c r="C148" s="3"/>
      <c r="D148" s="4"/>
      <c r="E148" s="4"/>
      <c r="F148" s="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2"/>
      <c r="B149" s="2"/>
      <c r="C149" s="3"/>
      <c r="D149" s="4"/>
      <c r="E149" s="4"/>
      <c r="F149" s="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2"/>
      <c r="B150" s="2"/>
      <c r="C150" s="3"/>
      <c r="D150" s="4"/>
      <c r="E150" s="4"/>
      <c r="F150" s="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2"/>
      <c r="B151" s="2"/>
      <c r="C151" s="3"/>
      <c r="D151" s="4"/>
      <c r="E151" s="4"/>
      <c r="F151" s="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2"/>
      <c r="B152" s="2"/>
      <c r="C152" s="3"/>
      <c r="D152" s="4"/>
      <c r="E152" s="4"/>
      <c r="F152" s="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2"/>
      <c r="B153" s="2"/>
      <c r="C153" s="3"/>
      <c r="D153" s="4"/>
      <c r="E153" s="4"/>
      <c r="F153" s="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2"/>
      <c r="B154" s="2"/>
      <c r="C154" s="3"/>
      <c r="D154" s="4"/>
      <c r="E154" s="4"/>
      <c r="F154" s="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2"/>
      <c r="B155" s="2"/>
      <c r="C155" s="3"/>
      <c r="D155" s="4"/>
      <c r="E155" s="4"/>
      <c r="F155" s="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2"/>
      <c r="B156" s="2"/>
      <c r="C156" s="3"/>
      <c r="D156" s="4"/>
      <c r="E156" s="4"/>
      <c r="F156" s="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2"/>
      <c r="B157" s="2"/>
      <c r="C157" s="3"/>
      <c r="D157" s="4"/>
      <c r="E157" s="4"/>
      <c r="F157" s="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2"/>
      <c r="B158" s="2"/>
      <c r="C158" s="3"/>
      <c r="D158" s="4"/>
      <c r="E158" s="4"/>
      <c r="F158" s="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2"/>
      <c r="B159" s="2"/>
      <c r="C159" s="3"/>
      <c r="D159" s="4"/>
      <c r="E159" s="4"/>
      <c r="F159" s="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2"/>
      <c r="B160" s="2"/>
      <c r="C160" s="3"/>
      <c r="D160" s="4"/>
      <c r="E160" s="4"/>
      <c r="F160" s="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2"/>
      <c r="B161" s="2"/>
      <c r="C161" s="3"/>
      <c r="D161" s="4"/>
      <c r="E161" s="4"/>
      <c r="F161" s="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2"/>
      <c r="B162" s="2"/>
      <c r="C162" s="3"/>
      <c r="D162" s="4"/>
      <c r="E162" s="4"/>
      <c r="F162" s="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2"/>
      <c r="B163" s="2"/>
      <c r="C163" s="3"/>
      <c r="D163" s="4"/>
      <c r="E163" s="4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2"/>
      <c r="B164" s="2"/>
      <c r="C164" s="3"/>
      <c r="D164" s="4"/>
      <c r="E164" s="4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2"/>
      <c r="B165" s="2"/>
      <c r="C165" s="3"/>
      <c r="D165" s="4"/>
      <c r="E165" s="4"/>
      <c r="F165" s="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2"/>
      <c r="B166" s="2"/>
      <c r="C166" s="3"/>
      <c r="D166" s="4"/>
      <c r="E166" s="4"/>
      <c r="F166" s="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2"/>
      <c r="B167" s="2"/>
      <c r="C167" s="3"/>
      <c r="D167" s="4"/>
      <c r="E167" s="4"/>
      <c r="F167" s="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2"/>
      <c r="B168" s="2"/>
      <c r="C168" s="3"/>
      <c r="D168" s="4"/>
      <c r="E168" s="4"/>
      <c r="F168" s="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2"/>
      <c r="B169" s="2"/>
      <c r="C169" s="3"/>
      <c r="D169" s="4"/>
      <c r="E169" s="4"/>
      <c r="F169" s="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2"/>
      <c r="B170" s="2"/>
      <c r="C170" s="3"/>
      <c r="D170" s="4"/>
      <c r="E170" s="4"/>
      <c r="F170" s="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2"/>
      <c r="B171" s="2"/>
      <c r="C171" s="3"/>
      <c r="D171" s="4"/>
      <c r="E171" s="4"/>
      <c r="F171" s="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2"/>
      <c r="B172" s="2"/>
      <c r="C172" s="3"/>
      <c r="D172" s="4"/>
      <c r="E172" s="4"/>
      <c r="F172" s="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2"/>
      <c r="B173" s="2"/>
      <c r="C173" s="3"/>
      <c r="D173" s="4"/>
      <c r="E173" s="4"/>
      <c r="F173" s="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2"/>
      <c r="B174" s="2"/>
      <c r="C174" s="3"/>
      <c r="D174" s="4"/>
      <c r="E174" s="4"/>
      <c r="F174" s="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2"/>
      <c r="B175" s="2"/>
      <c r="C175" s="3"/>
      <c r="D175" s="4"/>
      <c r="E175" s="4"/>
      <c r="F175" s="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2"/>
      <c r="B176" s="2"/>
      <c r="C176" s="3"/>
      <c r="D176" s="4"/>
      <c r="E176" s="4"/>
      <c r="F176" s="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2"/>
      <c r="B177" s="2"/>
      <c r="C177" s="3"/>
      <c r="D177" s="4"/>
      <c r="E177" s="4"/>
      <c r="F177" s="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2"/>
      <c r="B178" s="2"/>
      <c r="C178" s="3"/>
      <c r="D178" s="4"/>
      <c r="E178" s="4"/>
      <c r="F178" s="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2"/>
      <c r="B179" s="2"/>
      <c r="C179" s="3"/>
      <c r="D179" s="4"/>
      <c r="E179" s="4"/>
      <c r="F179" s="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2"/>
      <c r="B180" s="2"/>
      <c r="C180" s="3"/>
      <c r="D180" s="4"/>
      <c r="E180" s="4"/>
      <c r="F180" s="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2"/>
      <c r="B181" s="2"/>
      <c r="C181" s="3"/>
      <c r="D181" s="4"/>
      <c r="E181" s="4"/>
      <c r="F181" s="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2"/>
      <c r="B182" s="2"/>
      <c r="C182" s="3"/>
      <c r="D182" s="4"/>
      <c r="E182" s="4"/>
      <c r="F182" s="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2"/>
      <c r="B183" s="2"/>
      <c r="C183" s="3"/>
      <c r="D183" s="4"/>
      <c r="E183" s="4"/>
      <c r="F183" s="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2"/>
      <c r="B184" s="2"/>
      <c r="C184" s="3"/>
      <c r="D184" s="4"/>
      <c r="E184" s="4"/>
      <c r="F184" s="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2"/>
      <c r="B185" s="2"/>
      <c r="C185" s="3"/>
      <c r="D185" s="4"/>
      <c r="E185" s="4"/>
      <c r="F185" s="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2"/>
      <c r="B186" s="2"/>
      <c r="C186" s="3"/>
      <c r="D186" s="4"/>
      <c r="E186" s="4"/>
      <c r="F186" s="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2"/>
      <c r="B187" s="2"/>
      <c r="C187" s="3"/>
      <c r="D187" s="4"/>
      <c r="E187" s="4"/>
      <c r="F187" s="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2"/>
      <c r="B188" s="2"/>
      <c r="C188" s="3"/>
      <c r="D188" s="4"/>
      <c r="E188" s="4"/>
      <c r="F188" s="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2"/>
      <c r="B189" s="2"/>
      <c r="C189" s="3"/>
      <c r="D189" s="4"/>
      <c r="E189" s="4"/>
      <c r="F189" s="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2"/>
      <c r="B190" s="2"/>
      <c r="C190" s="3"/>
      <c r="D190" s="4"/>
      <c r="E190" s="4"/>
      <c r="F190" s="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2"/>
      <c r="B191" s="2"/>
      <c r="C191" s="3"/>
      <c r="D191" s="4"/>
      <c r="E191" s="4"/>
      <c r="F191" s="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2"/>
      <c r="B192" s="2"/>
      <c r="C192" s="3"/>
      <c r="D192" s="4"/>
      <c r="E192" s="4"/>
      <c r="F192" s="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2"/>
      <c r="B193" s="2"/>
      <c r="C193" s="3"/>
      <c r="D193" s="4"/>
      <c r="E193" s="4"/>
      <c r="F193" s="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2"/>
      <c r="B194" s="2"/>
      <c r="C194" s="3"/>
      <c r="D194" s="4"/>
      <c r="E194" s="4"/>
      <c r="F194" s="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2"/>
      <c r="B195" s="2"/>
      <c r="C195" s="3"/>
      <c r="D195" s="4"/>
      <c r="E195" s="4"/>
      <c r="F195" s="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2"/>
      <c r="B196" s="2"/>
      <c r="C196" s="3"/>
      <c r="D196" s="4"/>
      <c r="E196" s="4"/>
      <c r="F196" s="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2"/>
      <c r="B197" s="2"/>
      <c r="C197" s="3"/>
      <c r="D197" s="4"/>
      <c r="E197" s="4"/>
      <c r="F197" s="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2"/>
      <c r="B198" s="2"/>
      <c r="C198" s="3"/>
      <c r="D198" s="4"/>
      <c r="E198" s="4"/>
      <c r="F198" s="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2"/>
      <c r="B199" s="2"/>
      <c r="C199" s="3"/>
      <c r="D199" s="4"/>
      <c r="E199" s="4"/>
      <c r="F199" s="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2"/>
      <c r="B200" s="2"/>
      <c r="C200" s="3"/>
      <c r="D200" s="4"/>
      <c r="E200" s="4"/>
      <c r="F200" s="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2"/>
      <c r="B201" s="2"/>
      <c r="C201" s="3"/>
      <c r="D201" s="4"/>
      <c r="E201" s="4"/>
      <c r="F201" s="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2"/>
      <c r="B202" s="2"/>
      <c r="C202" s="3"/>
      <c r="D202" s="4"/>
      <c r="E202" s="4"/>
      <c r="F202" s="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2"/>
      <c r="B203" s="2"/>
      <c r="C203" s="3"/>
      <c r="D203" s="4"/>
      <c r="E203" s="4"/>
      <c r="F203" s="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2"/>
      <c r="B204" s="2"/>
      <c r="C204" s="3"/>
      <c r="D204" s="4"/>
      <c r="E204" s="4"/>
      <c r="F204" s="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2"/>
      <c r="B205" s="2"/>
      <c r="C205" s="3"/>
      <c r="D205" s="4"/>
      <c r="E205" s="4"/>
      <c r="F205" s="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2"/>
      <c r="B206" s="2"/>
      <c r="C206" s="3"/>
      <c r="D206" s="4"/>
      <c r="E206" s="4"/>
      <c r="F206" s="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2"/>
      <c r="B207" s="2"/>
      <c r="C207" s="3"/>
      <c r="D207" s="4"/>
      <c r="E207" s="4"/>
      <c r="F207" s="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2"/>
      <c r="B208" s="2"/>
      <c r="C208" s="3"/>
      <c r="D208" s="4"/>
      <c r="E208" s="4"/>
      <c r="F208" s="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2"/>
      <c r="B209" s="2"/>
      <c r="C209" s="3"/>
      <c r="D209" s="4"/>
      <c r="E209" s="4"/>
      <c r="F209" s="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2"/>
      <c r="B210" s="2"/>
      <c r="C210" s="3"/>
      <c r="D210" s="4"/>
      <c r="E210" s="4"/>
      <c r="F210" s="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2"/>
      <c r="B211" s="2"/>
      <c r="C211" s="3"/>
      <c r="D211" s="4"/>
      <c r="E211" s="4"/>
      <c r="F211" s="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2"/>
      <c r="B212" s="2"/>
      <c r="C212" s="3"/>
      <c r="D212" s="4"/>
      <c r="E212" s="4"/>
      <c r="F212" s="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2"/>
      <c r="B213" s="2"/>
      <c r="C213" s="3"/>
      <c r="D213" s="4"/>
      <c r="E213" s="4"/>
      <c r="F213" s="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2"/>
      <c r="B214" s="2"/>
      <c r="C214" s="3"/>
      <c r="D214" s="4"/>
      <c r="E214" s="4"/>
      <c r="F214" s="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2"/>
      <c r="B215" s="2"/>
      <c r="C215" s="3"/>
      <c r="D215" s="4"/>
      <c r="E215" s="4"/>
      <c r="F215" s="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2"/>
      <c r="B216" s="2"/>
      <c r="C216" s="3"/>
      <c r="D216" s="4"/>
      <c r="E216" s="4"/>
      <c r="F216" s="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2"/>
      <c r="B217" s="2"/>
      <c r="C217" s="3"/>
      <c r="D217" s="4"/>
      <c r="E217" s="4"/>
      <c r="F217" s="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2"/>
      <c r="B218" s="2"/>
      <c r="C218" s="3"/>
      <c r="D218" s="4"/>
      <c r="E218" s="4"/>
      <c r="F218" s="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2"/>
      <c r="B219" s="2"/>
      <c r="C219" s="3"/>
      <c r="D219" s="4"/>
      <c r="E219" s="4"/>
      <c r="F219" s="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2"/>
      <c r="B220" s="2"/>
      <c r="C220" s="3"/>
      <c r="D220" s="4"/>
      <c r="E220" s="4"/>
      <c r="F220" s="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2"/>
      <c r="B221" s="2"/>
      <c r="C221" s="3"/>
      <c r="D221" s="4"/>
      <c r="E221" s="4"/>
      <c r="F221" s="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2"/>
      <c r="B222" s="2"/>
      <c r="C222" s="3"/>
      <c r="D222" s="4"/>
      <c r="E222" s="4"/>
      <c r="F222" s="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2"/>
      <c r="B223" s="2"/>
      <c r="C223" s="3"/>
      <c r="D223" s="4"/>
      <c r="E223" s="4"/>
      <c r="F223" s="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2"/>
      <c r="B224" s="2"/>
      <c r="C224" s="3"/>
      <c r="D224" s="4"/>
      <c r="E224" s="4"/>
      <c r="F224" s="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2"/>
      <c r="B225" s="2"/>
      <c r="C225" s="3"/>
      <c r="D225" s="4"/>
      <c r="E225" s="4"/>
      <c r="F225" s="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2"/>
      <c r="B226" s="2"/>
      <c r="C226" s="3"/>
      <c r="D226" s="4"/>
      <c r="E226" s="4"/>
      <c r="F226" s="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2"/>
      <c r="B227" s="2"/>
      <c r="C227" s="3"/>
      <c r="D227" s="4"/>
      <c r="E227" s="4"/>
      <c r="F227" s="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2"/>
      <c r="B228" s="2"/>
      <c r="C228" s="3"/>
      <c r="D228" s="4"/>
      <c r="E228" s="4"/>
      <c r="F228" s="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2"/>
      <c r="B229" s="2"/>
      <c r="C229" s="3"/>
      <c r="D229" s="4"/>
      <c r="E229" s="4"/>
      <c r="F229" s="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2"/>
      <c r="B230" s="2"/>
      <c r="C230" s="3"/>
      <c r="D230" s="4"/>
      <c r="E230" s="4"/>
      <c r="F230" s="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2"/>
      <c r="B231" s="2"/>
      <c r="C231" s="3"/>
      <c r="D231" s="4"/>
      <c r="E231" s="4"/>
      <c r="F231" s="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2"/>
      <c r="B232" s="2"/>
      <c r="C232" s="3"/>
      <c r="D232" s="4"/>
      <c r="E232" s="4"/>
      <c r="F232" s="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2"/>
      <c r="B233" s="2"/>
      <c r="C233" s="3"/>
      <c r="D233" s="4"/>
      <c r="E233" s="4"/>
      <c r="F233" s="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2"/>
      <c r="B234" s="2"/>
      <c r="C234" s="3"/>
      <c r="D234" s="4"/>
      <c r="E234" s="4"/>
      <c r="F234" s="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2"/>
      <c r="B235" s="2"/>
      <c r="C235" s="3"/>
      <c r="D235" s="4"/>
      <c r="E235" s="4"/>
      <c r="F235" s="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2"/>
      <c r="B236" s="2"/>
      <c r="C236" s="3"/>
      <c r="D236" s="4"/>
      <c r="E236" s="4"/>
      <c r="F236" s="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2"/>
      <c r="B237" s="2"/>
      <c r="C237" s="3"/>
      <c r="D237" s="4"/>
      <c r="E237" s="4"/>
      <c r="F237" s="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2"/>
      <c r="B238" s="2"/>
      <c r="C238" s="3"/>
      <c r="D238" s="4"/>
      <c r="E238" s="4"/>
      <c r="F238" s="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2"/>
      <c r="B239" s="2"/>
      <c r="C239" s="3"/>
      <c r="D239" s="4"/>
      <c r="E239" s="4"/>
      <c r="F239" s="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2"/>
      <c r="B240" s="2"/>
      <c r="C240" s="3"/>
      <c r="D240" s="4"/>
      <c r="E240" s="4"/>
      <c r="F240" s="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2"/>
      <c r="B241" s="2"/>
      <c r="C241" s="3"/>
      <c r="D241" s="4"/>
      <c r="E241" s="4"/>
      <c r="F241" s="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2"/>
      <c r="B242" s="2"/>
      <c r="C242" s="3"/>
      <c r="D242" s="4"/>
      <c r="E242" s="4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2"/>
      <c r="B243" s="2"/>
      <c r="C243" s="3"/>
      <c r="D243" s="4"/>
      <c r="E243" s="4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2"/>
      <c r="B244" s="2"/>
      <c r="C244" s="3"/>
      <c r="D244" s="4"/>
      <c r="E244" s="4"/>
      <c r="F244" s="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2"/>
      <c r="B245" s="2"/>
      <c r="C245" s="3"/>
      <c r="D245" s="4"/>
      <c r="E245" s="4"/>
      <c r="F245" s="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2"/>
      <c r="B246" s="2"/>
      <c r="C246" s="3"/>
      <c r="D246" s="4"/>
      <c r="E246" s="4"/>
      <c r="F246" s="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2"/>
      <c r="B247" s="2"/>
      <c r="C247" s="3"/>
      <c r="D247" s="4"/>
      <c r="E247" s="4"/>
      <c r="F247" s="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2"/>
      <c r="B248" s="2"/>
      <c r="C248" s="3"/>
      <c r="D248" s="4"/>
      <c r="E248" s="4"/>
      <c r="F248" s="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2"/>
      <c r="B249" s="2"/>
      <c r="C249" s="3"/>
      <c r="D249" s="4"/>
      <c r="E249" s="4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2"/>
      <c r="B250" s="2"/>
      <c r="C250" s="3"/>
      <c r="D250" s="4"/>
      <c r="E250" s="4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2"/>
      <c r="B251" s="2"/>
      <c r="C251" s="3"/>
      <c r="D251" s="4"/>
      <c r="E251" s="4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2"/>
      <c r="B252" s="2"/>
      <c r="C252" s="3"/>
      <c r="D252" s="4"/>
      <c r="E252" s="4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2"/>
      <c r="B253" s="2"/>
      <c r="C253" s="3"/>
      <c r="D253" s="4"/>
      <c r="E253" s="4"/>
      <c r="F253" s="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2"/>
      <c r="B254" s="2"/>
      <c r="C254" s="3"/>
      <c r="D254" s="4"/>
      <c r="E254" s="4"/>
      <c r="F254" s="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2"/>
      <c r="B255" s="2"/>
      <c r="C255" s="3"/>
      <c r="D255" s="4"/>
      <c r="E255" s="4"/>
      <c r="F255" s="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2"/>
      <c r="B256" s="2"/>
      <c r="C256" s="3"/>
      <c r="D256" s="4"/>
      <c r="E256" s="4"/>
      <c r="F256" s="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2"/>
      <c r="B257" s="2"/>
      <c r="C257" s="3"/>
      <c r="D257" s="4"/>
      <c r="E257" s="4"/>
      <c r="F257" s="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2"/>
      <c r="B258" s="2"/>
      <c r="C258" s="3"/>
      <c r="D258" s="4"/>
      <c r="E258" s="4"/>
      <c r="F258" s="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2"/>
      <c r="B259" s="2"/>
      <c r="C259" s="3"/>
      <c r="D259" s="4"/>
      <c r="E259" s="4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2"/>
      <c r="B260" s="2"/>
      <c r="C260" s="3"/>
      <c r="D260" s="4"/>
      <c r="E260" s="4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2"/>
      <c r="B261" s="2"/>
      <c r="C261" s="3"/>
      <c r="D261" s="4"/>
      <c r="E261" s="4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2"/>
      <c r="B262" s="2"/>
      <c r="C262" s="3"/>
      <c r="D262" s="4"/>
      <c r="E262" s="4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2"/>
      <c r="B263" s="2"/>
      <c r="C263" s="3"/>
      <c r="D263" s="4"/>
      <c r="E263" s="4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2"/>
      <c r="B264" s="2"/>
      <c r="C264" s="3"/>
      <c r="D264" s="4"/>
      <c r="E264" s="4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2"/>
      <c r="B265" s="2"/>
      <c r="C265" s="3"/>
      <c r="D265" s="4"/>
      <c r="E265" s="4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2"/>
      <c r="B266" s="2"/>
      <c r="C266" s="3"/>
      <c r="D266" s="4"/>
      <c r="E266" s="4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2"/>
      <c r="B267" s="2"/>
      <c r="C267" s="3"/>
      <c r="D267" s="4"/>
      <c r="E267" s="4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2"/>
      <c r="B268" s="2"/>
      <c r="C268" s="3"/>
      <c r="D268" s="4"/>
      <c r="E268" s="4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2"/>
      <c r="B269" s="2"/>
      <c r="C269" s="3"/>
      <c r="D269" s="4"/>
      <c r="E269" s="4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2"/>
      <c r="B270" s="2"/>
      <c r="C270" s="3"/>
      <c r="D270" s="4"/>
      <c r="E270" s="4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2"/>
      <c r="B271" s="2"/>
      <c r="C271" s="3"/>
      <c r="D271" s="4"/>
      <c r="E271" s="4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2"/>
      <c r="B272" s="2"/>
      <c r="C272" s="3"/>
      <c r="D272" s="4"/>
      <c r="E272" s="4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2"/>
      <c r="B273" s="2"/>
      <c r="C273" s="3"/>
      <c r="D273" s="4"/>
      <c r="E273" s="4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2"/>
      <c r="B274" s="2"/>
      <c r="C274" s="3"/>
      <c r="D274" s="4"/>
      <c r="E274" s="4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2"/>
      <c r="B275" s="2"/>
      <c r="C275" s="3"/>
      <c r="D275" s="4"/>
      <c r="E275" s="4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2"/>
      <c r="B276" s="2"/>
      <c r="C276" s="3"/>
      <c r="D276" s="4"/>
      <c r="E276" s="4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2"/>
      <c r="B277" s="2"/>
      <c r="C277" s="3"/>
      <c r="D277" s="4"/>
      <c r="E277" s="4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2"/>
      <c r="B278" s="2"/>
      <c r="C278" s="3"/>
      <c r="D278" s="4"/>
      <c r="E278" s="4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2"/>
      <c r="B279" s="2"/>
      <c r="C279" s="3"/>
      <c r="D279" s="4"/>
      <c r="E279" s="4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2"/>
      <c r="B280" s="2"/>
      <c r="C280" s="3"/>
      <c r="D280" s="4"/>
      <c r="E280" s="4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2"/>
      <c r="B281" s="2"/>
      <c r="C281" s="3"/>
      <c r="D281" s="4"/>
      <c r="E281" s="4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2"/>
      <c r="B282" s="2"/>
      <c r="C282" s="3"/>
      <c r="D282" s="4"/>
      <c r="E282" s="4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2"/>
      <c r="B283" s="2"/>
      <c r="C283" s="3"/>
      <c r="D283" s="4"/>
      <c r="E283" s="4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2"/>
      <c r="B284" s="2"/>
      <c r="C284" s="3"/>
      <c r="D284" s="4"/>
      <c r="E284" s="4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2"/>
      <c r="B285" s="2"/>
      <c r="C285" s="3"/>
      <c r="D285" s="4"/>
      <c r="E285" s="4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2"/>
      <c r="B286" s="2"/>
      <c r="C286" s="3"/>
      <c r="D286" s="4"/>
      <c r="E286" s="4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2"/>
      <c r="B287" s="2"/>
      <c r="C287" s="3"/>
      <c r="D287" s="4"/>
      <c r="E287" s="4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2"/>
      <c r="B288" s="2"/>
      <c r="C288" s="3"/>
      <c r="D288" s="4"/>
      <c r="E288" s="4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2"/>
      <c r="B289" s="2"/>
      <c r="C289" s="3"/>
      <c r="D289" s="4"/>
      <c r="E289" s="4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2"/>
      <c r="B290" s="2"/>
      <c r="C290" s="3"/>
      <c r="D290" s="4"/>
      <c r="E290" s="4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2"/>
      <c r="B291" s="2"/>
      <c r="C291" s="3"/>
      <c r="D291" s="4"/>
      <c r="E291" s="4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2"/>
      <c r="B292" s="2"/>
      <c r="C292" s="3"/>
      <c r="D292" s="4"/>
      <c r="E292" s="4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2"/>
      <c r="B293" s="2"/>
      <c r="C293" s="3"/>
      <c r="D293" s="4"/>
      <c r="E293" s="4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2"/>
      <c r="B294" s="2"/>
      <c r="C294" s="3"/>
      <c r="D294" s="4"/>
      <c r="E294" s="4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2"/>
      <c r="B295" s="2"/>
      <c r="C295" s="3"/>
      <c r="D295" s="4"/>
      <c r="E295" s="4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2"/>
      <c r="B296" s="2"/>
      <c r="C296" s="3"/>
      <c r="D296" s="4"/>
      <c r="E296" s="4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2"/>
      <c r="B297" s="2"/>
      <c r="C297" s="3"/>
      <c r="D297" s="4"/>
      <c r="E297" s="4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2"/>
      <c r="B298" s="2"/>
      <c r="C298" s="3"/>
      <c r="D298" s="4"/>
      <c r="E298" s="4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2"/>
      <c r="B299" s="2"/>
      <c r="C299" s="3"/>
      <c r="D299" s="4"/>
      <c r="E299" s="4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2"/>
      <c r="B300" s="2"/>
      <c r="C300" s="3"/>
      <c r="D300" s="4"/>
      <c r="E300" s="4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2"/>
      <c r="B301" s="2"/>
      <c r="C301" s="3"/>
      <c r="D301" s="4"/>
      <c r="E301" s="4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2"/>
      <c r="B302" s="2"/>
      <c r="C302" s="3"/>
      <c r="D302" s="4"/>
      <c r="E302" s="4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2"/>
      <c r="B303" s="2"/>
      <c r="C303" s="3"/>
      <c r="D303" s="4"/>
      <c r="E303" s="4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2"/>
      <c r="B304" s="2"/>
      <c r="C304" s="3"/>
      <c r="D304" s="4"/>
      <c r="E304" s="4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2"/>
      <c r="B305" s="2"/>
      <c r="C305" s="3"/>
      <c r="D305" s="4"/>
      <c r="E305" s="4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2"/>
      <c r="B306" s="2"/>
      <c r="C306" s="3"/>
      <c r="D306" s="4"/>
      <c r="E306" s="4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2"/>
      <c r="B307" s="2"/>
      <c r="C307" s="3"/>
      <c r="D307" s="4"/>
      <c r="E307" s="4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2"/>
      <c r="B308" s="2"/>
      <c r="C308" s="3"/>
      <c r="D308" s="4"/>
      <c r="E308" s="4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2"/>
      <c r="B309" s="2"/>
      <c r="C309" s="3"/>
      <c r="D309" s="4"/>
      <c r="E309" s="4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2"/>
      <c r="B310" s="2"/>
      <c r="C310" s="3"/>
      <c r="D310" s="4"/>
      <c r="E310" s="4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2"/>
      <c r="B311" s="2"/>
      <c r="C311" s="3"/>
      <c r="D311" s="4"/>
      <c r="E311" s="4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2"/>
      <c r="B312" s="2"/>
      <c r="C312" s="3"/>
      <c r="D312" s="4"/>
      <c r="E312" s="4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2"/>
      <c r="B313" s="2"/>
      <c r="C313" s="3"/>
      <c r="D313" s="4"/>
      <c r="E313" s="4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2"/>
      <c r="B314" s="2"/>
      <c r="C314" s="3"/>
      <c r="D314" s="4"/>
      <c r="E314" s="4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2"/>
      <c r="B315" s="2"/>
      <c r="C315" s="3"/>
      <c r="D315" s="4"/>
      <c r="E315" s="4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2"/>
      <c r="B316" s="2"/>
      <c r="C316" s="3"/>
      <c r="D316" s="4"/>
      <c r="E316" s="4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2"/>
      <c r="B317" s="2"/>
      <c r="C317" s="3"/>
      <c r="D317" s="4"/>
      <c r="E317" s="4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2"/>
      <c r="B318" s="2"/>
      <c r="C318" s="3"/>
      <c r="D318" s="4"/>
      <c r="E318" s="4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2"/>
      <c r="B319" s="2"/>
      <c r="C319" s="3"/>
      <c r="D319" s="4"/>
      <c r="E319" s="4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2"/>
      <c r="B320" s="2"/>
      <c r="C320" s="3"/>
      <c r="D320" s="4"/>
      <c r="E320" s="4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2"/>
      <c r="B321" s="2"/>
      <c r="C321" s="3"/>
      <c r="D321" s="4"/>
      <c r="E321" s="4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2"/>
      <c r="B322" s="2"/>
      <c r="C322" s="3"/>
      <c r="D322" s="4"/>
      <c r="E322" s="4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2"/>
      <c r="B323" s="2"/>
      <c r="C323" s="3"/>
      <c r="D323" s="4"/>
      <c r="E323" s="4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2"/>
      <c r="B324" s="2"/>
      <c r="C324" s="3"/>
      <c r="D324" s="4"/>
      <c r="E324" s="4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2"/>
      <c r="B325" s="2"/>
      <c r="C325" s="3"/>
      <c r="D325" s="4"/>
      <c r="E325" s="4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2"/>
      <c r="B326" s="2"/>
      <c r="C326" s="3"/>
      <c r="D326" s="4"/>
      <c r="E326" s="4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2"/>
      <c r="B327" s="2"/>
      <c r="C327" s="3"/>
      <c r="D327" s="4"/>
      <c r="E327" s="4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2"/>
      <c r="B328" s="2"/>
      <c r="C328" s="3"/>
      <c r="D328" s="4"/>
      <c r="E328" s="4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2"/>
      <c r="B329" s="2"/>
      <c r="C329" s="3"/>
      <c r="D329" s="4"/>
      <c r="E329" s="4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2"/>
      <c r="B330" s="2"/>
      <c r="C330" s="3"/>
      <c r="D330" s="4"/>
      <c r="E330" s="4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2"/>
      <c r="B331" s="2"/>
      <c r="C331" s="3"/>
      <c r="D331" s="4"/>
      <c r="E331" s="4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2"/>
      <c r="B332" s="2"/>
      <c r="C332" s="3"/>
      <c r="D332" s="4"/>
      <c r="E332" s="4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2"/>
      <c r="B333" s="2"/>
      <c r="C333" s="3"/>
      <c r="D333" s="4"/>
      <c r="E333" s="4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2"/>
      <c r="B334" s="2"/>
      <c r="C334" s="3"/>
      <c r="D334" s="4"/>
      <c r="E334" s="4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2"/>
      <c r="B335" s="2"/>
      <c r="C335" s="3"/>
      <c r="D335" s="4"/>
      <c r="E335" s="4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2"/>
      <c r="B336" s="2"/>
      <c r="C336" s="3"/>
      <c r="D336" s="4"/>
      <c r="E336" s="4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2"/>
      <c r="B337" s="2"/>
      <c r="C337" s="3"/>
      <c r="D337" s="4"/>
      <c r="E337" s="4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2"/>
      <c r="B338" s="2"/>
      <c r="C338" s="3"/>
      <c r="D338" s="4"/>
      <c r="E338" s="4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2"/>
      <c r="B339" s="2"/>
      <c r="C339" s="3"/>
      <c r="D339" s="4"/>
      <c r="E339" s="4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2"/>
      <c r="B340" s="2"/>
      <c r="C340" s="3"/>
      <c r="D340" s="4"/>
      <c r="E340" s="4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2"/>
      <c r="B341" s="2"/>
      <c r="C341" s="3"/>
      <c r="D341" s="4"/>
      <c r="E341" s="4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2"/>
      <c r="B342" s="2"/>
      <c r="C342" s="3"/>
      <c r="D342" s="4"/>
      <c r="E342" s="4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2"/>
      <c r="B343" s="2"/>
      <c r="C343" s="3"/>
      <c r="D343" s="4"/>
      <c r="E343" s="4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2"/>
      <c r="B344" s="2"/>
      <c r="C344" s="3"/>
      <c r="D344" s="4"/>
      <c r="E344" s="4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2"/>
      <c r="B345" s="2"/>
      <c r="C345" s="3"/>
      <c r="D345" s="4"/>
      <c r="E345" s="4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2"/>
      <c r="B346" s="2"/>
      <c r="C346" s="3"/>
      <c r="D346" s="4"/>
      <c r="E346" s="4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2"/>
      <c r="B347" s="2"/>
      <c r="C347" s="3"/>
      <c r="D347" s="4"/>
      <c r="E347" s="4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2"/>
      <c r="B348" s="2"/>
      <c r="C348" s="3"/>
      <c r="D348" s="4"/>
      <c r="E348" s="4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2"/>
      <c r="B349" s="2"/>
      <c r="C349" s="3"/>
      <c r="D349" s="4"/>
      <c r="E349" s="4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2"/>
      <c r="B350" s="2"/>
      <c r="C350" s="3"/>
      <c r="D350" s="4"/>
      <c r="E350" s="4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2"/>
      <c r="B351" s="2"/>
      <c r="C351" s="3"/>
      <c r="D351" s="4"/>
      <c r="E351" s="4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2"/>
      <c r="B352" s="2"/>
      <c r="C352" s="3"/>
      <c r="D352" s="4"/>
      <c r="E352" s="4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2"/>
      <c r="B353" s="2"/>
      <c r="C353" s="3"/>
      <c r="D353" s="4"/>
      <c r="E353" s="4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2"/>
      <c r="B354" s="2"/>
      <c r="C354" s="3"/>
      <c r="D354" s="4"/>
      <c r="E354" s="4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2"/>
      <c r="B355" s="2"/>
      <c r="C355" s="3"/>
      <c r="D355" s="4"/>
      <c r="E355" s="4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2"/>
      <c r="B356" s="2"/>
      <c r="C356" s="3"/>
      <c r="D356" s="4"/>
      <c r="E356" s="4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2"/>
      <c r="B357" s="2"/>
      <c r="C357" s="3"/>
      <c r="D357" s="4"/>
      <c r="E357" s="4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2"/>
      <c r="B358" s="2"/>
      <c r="C358" s="3"/>
      <c r="D358" s="4"/>
      <c r="E358" s="4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2"/>
      <c r="B359" s="2"/>
      <c r="C359" s="3"/>
      <c r="D359" s="4"/>
      <c r="E359" s="4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2"/>
      <c r="B360" s="2"/>
      <c r="C360" s="3"/>
      <c r="D360" s="4"/>
      <c r="E360" s="4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2"/>
      <c r="B361" s="2"/>
      <c r="C361" s="3"/>
      <c r="D361" s="4"/>
      <c r="E361" s="4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2"/>
      <c r="B362" s="2"/>
      <c r="C362" s="3"/>
      <c r="D362" s="4"/>
      <c r="E362" s="4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2"/>
      <c r="B363" s="2"/>
      <c r="C363" s="3"/>
      <c r="D363" s="4"/>
      <c r="E363" s="4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2"/>
      <c r="B364" s="2"/>
      <c r="C364" s="3"/>
      <c r="D364" s="4"/>
      <c r="E364" s="4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2"/>
      <c r="B365" s="2"/>
      <c r="C365" s="3"/>
      <c r="D365" s="4"/>
      <c r="E365" s="4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2"/>
      <c r="B366" s="2"/>
      <c r="C366" s="3"/>
      <c r="D366" s="4"/>
      <c r="E366" s="4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2"/>
      <c r="B367" s="2"/>
      <c r="C367" s="3"/>
      <c r="D367" s="4"/>
      <c r="E367" s="4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2"/>
      <c r="B368" s="2"/>
      <c r="C368" s="3"/>
      <c r="D368" s="4"/>
      <c r="E368" s="4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2"/>
      <c r="B369" s="2"/>
      <c r="C369" s="3"/>
      <c r="D369" s="4"/>
      <c r="E369" s="4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2"/>
      <c r="B370" s="2"/>
      <c r="C370" s="3"/>
      <c r="D370" s="4"/>
      <c r="E370" s="4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2"/>
      <c r="B371" s="2"/>
      <c r="C371" s="3"/>
      <c r="D371" s="4"/>
      <c r="E371" s="4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2"/>
      <c r="B372" s="2"/>
      <c r="C372" s="3"/>
      <c r="D372" s="4"/>
      <c r="E372" s="4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2"/>
      <c r="B373" s="2"/>
      <c r="C373" s="3"/>
      <c r="D373" s="4"/>
      <c r="E373" s="4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2"/>
      <c r="B374" s="2"/>
      <c r="C374" s="3"/>
      <c r="D374" s="4"/>
      <c r="E374" s="4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2"/>
      <c r="B375" s="2"/>
      <c r="C375" s="3"/>
      <c r="D375" s="4"/>
      <c r="E375" s="4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2"/>
      <c r="B376" s="2"/>
      <c r="C376" s="3"/>
      <c r="D376" s="4"/>
      <c r="E376" s="4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2"/>
      <c r="B377" s="2"/>
      <c r="C377" s="3"/>
      <c r="D377" s="4"/>
      <c r="E377" s="4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2"/>
      <c r="B378" s="2"/>
      <c r="C378" s="3"/>
      <c r="D378" s="4"/>
      <c r="E378" s="4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2"/>
      <c r="B379" s="2"/>
      <c r="C379" s="3"/>
      <c r="D379" s="4"/>
      <c r="E379" s="4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2"/>
      <c r="B380" s="2"/>
      <c r="C380" s="3"/>
      <c r="D380" s="4"/>
      <c r="E380" s="4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2"/>
      <c r="B381" s="2"/>
      <c r="C381" s="3"/>
      <c r="D381" s="4"/>
      <c r="E381" s="4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2"/>
      <c r="B382" s="2"/>
      <c r="C382" s="3"/>
      <c r="D382" s="4"/>
      <c r="E382" s="4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2"/>
      <c r="B383" s="2"/>
      <c r="C383" s="3"/>
      <c r="D383" s="4"/>
      <c r="E383" s="4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2"/>
      <c r="B384" s="2"/>
      <c r="C384" s="3"/>
      <c r="D384" s="4"/>
      <c r="E384" s="4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2"/>
      <c r="B385" s="2"/>
      <c r="C385" s="3"/>
      <c r="D385" s="4"/>
      <c r="E385" s="4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2"/>
      <c r="B386" s="2"/>
      <c r="C386" s="3"/>
      <c r="D386" s="4"/>
      <c r="E386" s="4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2"/>
      <c r="B387" s="2"/>
      <c r="C387" s="3"/>
      <c r="D387" s="4"/>
      <c r="E387" s="4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2"/>
      <c r="B388" s="2"/>
      <c r="C388" s="3"/>
      <c r="D388" s="4"/>
      <c r="E388" s="4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2"/>
      <c r="B389" s="2"/>
      <c r="C389" s="3"/>
      <c r="D389" s="4"/>
      <c r="E389" s="4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2"/>
      <c r="B390" s="2"/>
      <c r="C390" s="3"/>
      <c r="D390" s="4"/>
      <c r="E390" s="4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2"/>
      <c r="B391" s="2"/>
      <c r="C391" s="3"/>
      <c r="D391" s="4"/>
      <c r="E391" s="4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2"/>
      <c r="B392" s="2"/>
      <c r="C392" s="3"/>
      <c r="D392" s="4"/>
      <c r="E392" s="4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2"/>
      <c r="B393" s="2"/>
      <c r="C393" s="3"/>
      <c r="D393" s="4"/>
      <c r="E393" s="4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2"/>
      <c r="B394" s="2"/>
      <c r="C394" s="3"/>
      <c r="D394" s="4"/>
      <c r="E394" s="4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2"/>
      <c r="B395" s="2"/>
      <c r="C395" s="3"/>
      <c r="D395" s="4"/>
      <c r="E395" s="4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2"/>
      <c r="B396" s="2"/>
      <c r="C396" s="3"/>
      <c r="D396" s="4"/>
      <c r="E396" s="4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2"/>
      <c r="B397" s="2"/>
      <c r="C397" s="3"/>
      <c r="D397" s="4"/>
      <c r="E397" s="4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2"/>
      <c r="B398" s="2"/>
      <c r="C398" s="3"/>
      <c r="D398" s="4"/>
      <c r="E398" s="4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2"/>
      <c r="B399" s="2"/>
      <c r="C399" s="3"/>
      <c r="D399" s="4"/>
      <c r="E399" s="4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2"/>
      <c r="B400" s="2"/>
      <c r="C400" s="3"/>
      <c r="D400" s="4"/>
      <c r="E400" s="4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2"/>
      <c r="B401" s="2"/>
      <c r="C401" s="3"/>
      <c r="D401" s="4"/>
      <c r="E401" s="4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2"/>
      <c r="B402" s="2"/>
      <c r="C402" s="3"/>
      <c r="D402" s="4"/>
      <c r="E402" s="4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2"/>
      <c r="B403" s="2"/>
      <c r="C403" s="3"/>
      <c r="D403" s="4"/>
      <c r="E403" s="4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2"/>
      <c r="B404" s="2"/>
      <c r="C404" s="3"/>
      <c r="D404" s="4"/>
      <c r="E404" s="4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2"/>
      <c r="B405" s="2"/>
      <c r="C405" s="3"/>
      <c r="D405" s="4"/>
      <c r="E405" s="4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2"/>
      <c r="B406" s="2"/>
      <c r="C406" s="3"/>
      <c r="D406" s="4"/>
      <c r="E406" s="4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2"/>
      <c r="B407" s="2"/>
      <c r="C407" s="3"/>
      <c r="D407" s="4"/>
      <c r="E407" s="4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2"/>
      <c r="B408" s="2"/>
      <c r="C408" s="3"/>
      <c r="D408" s="4"/>
      <c r="E408" s="4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2"/>
      <c r="B409" s="2"/>
      <c r="C409" s="3"/>
      <c r="D409" s="4"/>
      <c r="E409" s="4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2"/>
      <c r="B410" s="2"/>
      <c r="C410" s="3"/>
      <c r="D410" s="4"/>
      <c r="E410" s="4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2"/>
      <c r="B411" s="2"/>
      <c r="C411" s="3"/>
      <c r="D411" s="4"/>
      <c r="E411" s="4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2"/>
      <c r="B412" s="2"/>
      <c r="C412" s="3"/>
      <c r="D412" s="4"/>
      <c r="E412" s="4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2"/>
      <c r="B413" s="2"/>
      <c r="C413" s="3"/>
      <c r="D413" s="4"/>
      <c r="E413" s="4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2"/>
      <c r="B414" s="2"/>
      <c r="C414" s="3"/>
      <c r="D414" s="4"/>
      <c r="E414" s="4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2"/>
      <c r="B415" s="2"/>
      <c r="C415" s="3"/>
      <c r="D415" s="4"/>
      <c r="E415" s="4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2"/>
      <c r="B416" s="2"/>
      <c r="C416" s="3"/>
      <c r="D416" s="4"/>
      <c r="E416" s="4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2"/>
      <c r="B417" s="2"/>
      <c r="C417" s="3"/>
      <c r="D417" s="4"/>
      <c r="E417" s="4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2"/>
      <c r="B418" s="2"/>
      <c r="C418" s="3"/>
      <c r="D418" s="4"/>
      <c r="E418" s="4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2"/>
      <c r="B419" s="2"/>
      <c r="C419" s="3"/>
      <c r="D419" s="4"/>
      <c r="E419" s="4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2"/>
      <c r="B420" s="2"/>
      <c r="C420" s="3"/>
      <c r="D420" s="4"/>
      <c r="E420" s="4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2"/>
      <c r="B421" s="2"/>
      <c r="C421" s="3"/>
      <c r="D421" s="4"/>
      <c r="E421" s="4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2"/>
      <c r="B422" s="2"/>
      <c r="C422" s="3"/>
      <c r="D422" s="4"/>
      <c r="E422" s="4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2"/>
      <c r="B423" s="2"/>
      <c r="C423" s="3"/>
      <c r="D423" s="4"/>
      <c r="E423" s="4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2"/>
      <c r="B424" s="2"/>
      <c r="C424" s="3"/>
      <c r="D424" s="4"/>
      <c r="E424" s="4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2"/>
      <c r="B425" s="2"/>
      <c r="C425" s="3"/>
      <c r="D425" s="4"/>
      <c r="E425" s="4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2"/>
      <c r="B426" s="2"/>
      <c r="C426" s="3"/>
      <c r="D426" s="4"/>
      <c r="E426" s="4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2"/>
      <c r="B427" s="2"/>
      <c r="C427" s="3"/>
      <c r="D427" s="4"/>
      <c r="E427" s="4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2"/>
      <c r="B428" s="2"/>
      <c r="C428" s="3"/>
      <c r="D428" s="4"/>
      <c r="E428" s="4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2"/>
      <c r="B429" s="2"/>
      <c r="C429" s="3"/>
      <c r="D429" s="4"/>
      <c r="E429" s="4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2"/>
      <c r="B430" s="2"/>
      <c r="C430" s="3"/>
      <c r="D430" s="4"/>
      <c r="E430" s="4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2"/>
      <c r="B431" s="2"/>
      <c r="C431" s="3"/>
      <c r="D431" s="4"/>
      <c r="E431" s="4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2"/>
      <c r="B432" s="2"/>
      <c r="C432" s="3"/>
      <c r="D432" s="4"/>
      <c r="E432" s="4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2"/>
      <c r="B433" s="2"/>
      <c r="C433" s="3"/>
      <c r="D433" s="4"/>
      <c r="E433" s="4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2"/>
      <c r="B434" s="2"/>
      <c r="C434" s="3"/>
      <c r="D434" s="4"/>
      <c r="E434" s="4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2"/>
      <c r="B435" s="2"/>
      <c r="C435" s="3"/>
      <c r="D435" s="4"/>
      <c r="E435" s="4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2"/>
      <c r="B436" s="2"/>
      <c r="C436" s="3"/>
      <c r="D436" s="4"/>
      <c r="E436" s="4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2"/>
      <c r="B437" s="2"/>
      <c r="C437" s="3"/>
      <c r="D437" s="4"/>
      <c r="E437" s="4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2"/>
      <c r="B438" s="2"/>
      <c r="C438" s="3"/>
      <c r="D438" s="4"/>
      <c r="E438" s="4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2"/>
      <c r="B439" s="2"/>
      <c r="C439" s="3"/>
      <c r="D439" s="4"/>
      <c r="E439" s="4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2"/>
      <c r="B440" s="2"/>
      <c r="C440" s="3"/>
      <c r="D440" s="4"/>
      <c r="E440" s="4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2"/>
      <c r="B441" s="2"/>
      <c r="C441" s="3"/>
      <c r="D441" s="4"/>
      <c r="E441" s="4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2"/>
      <c r="B442" s="2"/>
      <c r="C442" s="3"/>
      <c r="D442" s="4"/>
      <c r="E442" s="4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2"/>
      <c r="B443" s="2"/>
      <c r="C443" s="3"/>
      <c r="D443" s="4"/>
      <c r="E443" s="4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2"/>
      <c r="B444" s="2"/>
      <c r="C444" s="3"/>
      <c r="D444" s="4"/>
      <c r="E444" s="4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2"/>
      <c r="B445" s="2"/>
      <c r="C445" s="3"/>
      <c r="D445" s="4"/>
      <c r="E445" s="4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2"/>
      <c r="B446" s="2"/>
      <c r="C446" s="3"/>
      <c r="D446" s="4"/>
      <c r="E446" s="4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2"/>
      <c r="B447" s="2"/>
      <c r="C447" s="3"/>
      <c r="D447" s="4"/>
      <c r="E447" s="4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2"/>
      <c r="B448" s="2"/>
      <c r="C448" s="3"/>
      <c r="D448" s="4"/>
      <c r="E448" s="4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2"/>
      <c r="B449" s="2"/>
      <c r="C449" s="3"/>
      <c r="D449" s="4"/>
      <c r="E449" s="4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2"/>
      <c r="B450" s="2"/>
      <c r="C450" s="3"/>
      <c r="D450" s="4"/>
      <c r="E450" s="4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2"/>
      <c r="B451" s="2"/>
      <c r="C451" s="3"/>
      <c r="D451" s="4"/>
      <c r="E451" s="4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2"/>
      <c r="B452" s="2"/>
      <c r="C452" s="3"/>
      <c r="D452" s="4"/>
      <c r="E452" s="4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2"/>
      <c r="B453" s="2"/>
      <c r="C453" s="3"/>
      <c r="D453" s="4"/>
      <c r="E453" s="4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2"/>
      <c r="B454" s="2"/>
      <c r="C454" s="3"/>
      <c r="D454" s="4"/>
      <c r="E454" s="4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2"/>
      <c r="B455" s="2"/>
      <c r="C455" s="3"/>
      <c r="D455" s="4"/>
      <c r="E455" s="4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2"/>
      <c r="B456" s="2"/>
      <c r="C456" s="3"/>
      <c r="D456" s="4"/>
      <c r="E456" s="4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2"/>
      <c r="B457" s="2"/>
      <c r="C457" s="3"/>
      <c r="D457" s="4"/>
      <c r="E457" s="4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2"/>
      <c r="B458" s="2"/>
      <c r="C458" s="3"/>
      <c r="D458" s="4"/>
      <c r="E458" s="4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2"/>
      <c r="B459" s="2"/>
      <c r="C459" s="3"/>
      <c r="D459" s="4"/>
      <c r="E459" s="4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2"/>
      <c r="B460" s="2"/>
      <c r="C460" s="3"/>
      <c r="D460" s="4"/>
      <c r="E460" s="4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2"/>
      <c r="B461" s="2"/>
      <c r="C461" s="3"/>
      <c r="D461" s="4"/>
      <c r="E461" s="4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2"/>
      <c r="B462" s="2"/>
      <c r="C462" s="3"/>
      <c r="D462" s="4"/>
      <c r="E462" s="4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2"/>
      <c r="B463" s="2"/>
      <c r="C463" s="3"/>
      <c r="D463" s="4"/>
      <c r="E463" s="4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2"/>
      <c r="B464" s="2"/>
      <c r="C464" s="3"/>
      <c r="D464" s="4"/>
      <c r="E464" s="4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2"/>
      <c r="B465" s="2"/>
      <c r="C465" s="3"/>
      <c r="D465" s="4"/>
      <c r="E465" s="4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2"/>
      <c r="B466" s="2"/>
      <c r="C466" s="3"/>
      <c r="D466" s="4"/>
      <c r="E466" s="4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2"/>
      <c r="B467" s="2"/>
      <c r="C467" s="3"/>
      <c r="D467" s="4"/>
      <c r="E467" s="4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2"/>
      <c r="B468" s="2"/>
      <c r="C468" s="3"/>
      <c r="D468" s="4"/>
      <c r="E468" s="4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2"/>
      <c r="B469" s="2"/>
      <c r="C469" s="3"/>
      <c r="D469" s="4"/>
      <c r="E469" s="4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2"/>
      <c r="B470" s="2"/>
      <c r="C470" s="3"/>
      <c r="D470" s="4"/>
      <c r="E470" s="4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2"/>
      <c r="B471" s="2"/>
      <c r="C471" s="3"/>
      <c r="D471" s="4"/>
      <c r="E471" s="4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2"/>
      <c r="B472" s="2"/>
      <c r="C472" s="3"/>
      <c r="D472" s="4"/>
      <c r="E472" s="4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2"/>
      <c r="B473" s="2"/>
      <c r="C473" s="3"/>
      <c r="D473" s="4"/>
      <c r="E473" s="4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2"/>
      <c r="B474" s="2"/>
      <c r="C474" s="3"/>
      <c r="D474" s="4"/>
      <c r="E474" s="4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2"/>
      <c r="B475" s="2"/>
      <c r="C475" s="3"/>
      <c r="D475" s="4"/>
      <c r="E475" s="4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2"/>
      <c r="B476" s="2"/>
      <c r="C476" s="3"/>
      <c r="D476" s="4"/>
      <c r="E476" s="4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2"/>
      <c r="B477" s="2"/>
      <c r="C477" s="3"/>
      <c r="D477" s="4"/>
      <c r="E477" s="4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2"/>
      <c r="B478" s="2"/>
      <c r="C478" s="3"/>
      <c r="D478" s="4"/>
      <c r="E478" s="4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2"/>
      <c r="B479" s="2"/>
      <c r="C479" s="3"/>
      <c r="D479" s="4"/>
      <c r="E479" s="4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2"/>
      <c r="B480" s="2"/>
      <c r="C480" s="3"/>
      <c r="D480" s="4"/>
      <c r="E480" s="4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2"/>
      <c r="B481" s="2"/>
      <c r="C481" s="3"/>
      <c r="D481" s="4"/>
      <c r="E481" s="4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2"/>
      <c r="B482" s="2"/>
      <c r="C482" s="3"/>
      <c r="D482" s="4"/>
      <c r="E482" s="4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2"/>
      <c r="B483" s="2"/>
      <c r="C483" s="3"/>
      <c r="D483" s="4"/>
      <c r="E483" s="4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2"/>
      <c r="B484" s="2"/>
      <c r="C484" s="3"/>
      <c r="D484" s="4"/>
      <c r="E484" s="4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2"/>
      <c r="B485" s="2"/>
      <c r="C485" s="3"/>
      <c r="D485" s="4"/>
      <c r="E485" s="4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2"/>
      <c r="B486" s="2"/>
      <c r="C486" s="3"/>
      <c r="D486" s="4"/>
      <c r="E486" s="4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2"/>
      <c r="B487" s="2"/>
      <c r="C487" s="3"/>
      <c r="D487" s="4"/>
      <c r="E487" s="4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2"/>
      <c r="B488" s="2"/>
      <c r="C488" s="3"/>
      <c r="D488" s="4"/>
      <c r="E488" s="4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2"/>
      <c r="B489" s="2"/>
      <c r="C489" s="3"/>
      <c r="D489" s="4"/>
      <c r="E489" s="4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2"/>
      <c r="B490" s="2"/>
      <c r="C490" s="3"/>
      <c r="D490" s="4"/>
      <c r="E490" s="4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2"/>
      <c r="B491" s="2"/>
      <c r="C491" s="3"/>
      <c r="D491" s="4"/>
      <c r="E491" s="4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2"/>
      <c r="B492" s="2"/>
      <c r="C492" s="3"/>
      <c r="D492" s="4"/>
      <c r="E492" s="4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2"/>
      <c r="B493" s="2"/>
      <c r="C493" s="3"/>
      <c r="D493" s="4"/>
      <c r="E493" s="4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2"/>
      <c r="B494" s="2"/>
      <c r="C494" s="3"/>
      <c r="D494" s="4"/>
      <c r="E494" s="4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2"/>
      <c r="B495" s="2"/>
      <c r="C495" s="3"/>
      <c r="D495" s="4"/>
      <c r="E495" s="4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2"/>
      <c r="B496" s="2"/>
      <c r="C496" s="3"/>
      <c r="D496" s="4"/>
      <c r="E496" s="4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2"/>
      <c r="B497" s="2"/>
      <c r="C497" s="3"/>
      <c r="D497" s="4"/>
      <c r="E497" s="4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2"/>
      <c r="B498" s="2"/>
      <c r="C498" s="3"/>
      <c r="D498" s="4"/>
      <c r="E498" s="4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2"/>
      <c r="B499" s="2"/>
      <c r="C499" s="3"/>
      <c r="D499" s="4"/>
      <c r="E499" s="4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2"/>
      <c r="B500" s="2"/>
      <c r="C500" s="3"/>
      <c r="D500" s="4"/>
      <c r="E500" s="4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2"/>
      <c r="B501" s="2"/>
      <c r="C501" s="3"/>
      <c r="D501" s="4"/>
      <c r="E501" s="4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2"/>
      <c r="B502" s="2"/>
      <c r="C502" s="3"/>
      <c r="D502" s="4"/>
      <c r="E502" s="4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2"/>
      <c r="B503" s="2"/>
      <c r="C503" s="3"/>
      <c r="D503" s="4"/>
      <c r="E503" s="4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2"/>
      <c r="B504" s="2"/>
      <c r="C504" s="3"/>
      <c r="D504" s="4"/>
      <c r="E504" s="4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2"/>
      <c r="B505" s="2"/>
      <c r="C505" s="3"/>
      <c r="D505" s="4"/>
      <c r="E505" s="4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2"/>
      <c r="B506" s="2"/>
      <c r="C506" s="3"/>
      <c r="D506" s="4"/>
      <c r="E506" s="4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2"/>
      <c r="B507" s="2"/>
      <c r="C507" s="3"/>
      <c r="D507" s="4"/>
      <c r="E507" s="4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2"/>
      <c r="B508" s="2"/>
      <c r="C508" s="3"/>
      <c r="D508" s="4"/>
      <c r="E508" s="4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2"/>
      <c r="B509" s="2"/>
      <c r="C509" s="3"/>
      <c r="D509" s="4"/>
      <c r="E509" s="4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2"/>
      <c r="B510" s="2"/>
      <c r="C510" s="3"/>
      <c r="D510" s="4"/>
      <c r="E510" s="4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2"/>
      <c r="B511" s="2"/>
      <c r="C511" s="3"/>
      <c r="D511" s="4"/>
      <c r="E511" s="4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2"/>
      <c r="B512" s="2"/>
      <c r="C512" s="3"/>
      <c r="D512" s="4"/>
      <c r="E512" s="4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2"/>
      <c r="B513" s="2"/>
      <c r="C513" s="3"/>
      <c r="D513" s="4"/>
      <c r="E513" s="4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2"/>
      <c r="B514" s="2"/>
      <c r="C514" s="3"/>
      <c r="D514" s="4"/>
      <c r="E514" s="4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2"/>
      <c r="B515" s="2"/>
      <c r="C515" s="3"/>
      <c r="D515" s="4"/>
      <c r="E515" s="4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2"/>
      <c r="B516" s="2"/>
      <c r="C516" s="3"/>
      <c r="D516" s="4"/>
      <c r="E516" s="4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2"/>
      <c r="B517" s="2"/>
      <c r="C517" s="3"/>
      <c r="D517" s="4"/>
      <c r="E517" s="4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2"/>
      <c r="B518" s="2"/>
      <c r="C518" s="3"/>
      <c r="D518" s="4"/>
      <c r="E518" s="4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2"/>
      <c r="B519" s="2"/>
      <c r="C519" s="3"/>
      <c r="D519" s="4"/>
      <c r="E519" s="4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2"/>
      <c r="B520" s="2"/>
      <c r="C520" s="3"/>
      <c r="D520" s="4"/>
      <c r="E520" s="4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2"/>
      <c r="B521" s="2"/>
      <c r="C521" s="3"/>
      <c r="D521" s="4"/>
      <c r="E521" s="4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2"/>
      <c r="B522" s="2"/>
      <c r="C522" s="3"/>
      <c r="D522" s="4"/>
      <c r="E522" s="4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2"/>
      <c r="B523" s="2"/>
      <c r="C523" s="3"/>
      <c r="D523" s="4"/>
      <c r="E523" s="4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2"/>
      <c r="B524" s="2"/>
      <c r="C524" s="3"/>
      <c r="D524" s="4"/>
      <c r="E524" s="4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2"/>
      <c r="B525" s="2"/>
      <c r="C525" s="3"/>
      <c r="D525" s="4"/>
      <c r="E525" s="4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2"/>
      <c r="B526" s="2"/>
      <c r="C526" s="3"/>
      <c r="D526" s="4"/>
      <c r="E526" s="4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2"/>
      <c r="B527" s="2"/>
      <c r="C527" s="3"/>
      <c r="D527" s="4"/>
      <c r="E527" s="4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2"/>
      <c r="B528" s="2"/>
      <c r="C528" s="3"/>
      <c r="D528" s="4"/>
      <c r="E528" s="4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2"/>
      <c r="B529" s="2"/>
      <c r="C529" s="3"/>
      <c r="D529" s="4"/>
      <c r="E529" s="4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2"/>
      <c r="B530" s="2"/>
      <c r="C530" s="3"/>
      <c r="D530" s="4"/>
      <c r="E530" s="4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2"/>
      <c r="B531" s="2"/>
      <c r="C531" s="3"/>
      <c r="D531" s="4"/>
      <c r="E531" s="4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2"/>
      <c r="B532" s="2"/>
      <c r="C532" s="3"/>
      <c r="D532" s="4"/>
      <c r="E532" s="4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2"/>
      <c r="B533" s="2"/>
      <c r="C533" s="3"/>
      <c r="D533" s="4"/>
      <c r="E533" s="4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2"/>
      <c r="B534" s="2"/>
      <c r="C534" s="3"/>
      <c r="D534" s="4"/>
      <c r="E534" s="4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2"/>
      <c r="B535" s="2"/>
      <c r="C535" s="3"/>
      <c r="D535" s="4"/>
      <c r="E535" s="4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2"/>
      <c r="B536" s="2"/>
      <c r="C536" s="3"/>
      <c r="D536" s="4"/>
      <c r="E536" s="4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2"/>
      <c r="B537" s="2"/>
      <c r="C537" s="3"/>
      <c r="D537" s="4"/>
      <c r="E537" s="4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2"/>
      <c r="B538" s="2"/>
      <c r="C538" s="3"/>
      <c r="D538" s="4"/>
      <c r="E538" s="4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2"/>
      <c r="B539" s="2"/>
      <c r="C539" s="3"/>
      <c r="D539" s="4"/>
      <c r="E539" s="4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2"/>
      <c r="B540" s="2"/>
      <c r="C540" s="3"/>
      <c r="D540" s="4"/>
      <c r="E540" s="4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2"/>
      <c r="B541" s="2"/>
      <c r="C541" s="3"/>
      <c r="D541" s="4"/>
      <c r="E541" s="4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2"/>
      <c r="B542" s="2"/>
      <c r="C542" s="3"/>
      <c r="D542" s="4"/>
      <c r="E542" s="4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2"/>
      <c r="B543" s="2"/>
      <c r="C543" s="3"/>
      <c r="D543" s="4"/>
      <c r="E543" s="4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2"/>
      <c r="B544" s="2"/>
      <c r="C544" s="3"/>
      <c r="D544" s="4"/>
      <c r="E544" s="4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2"/>
      <c r="B545" s="2"/>
      <c r="C545" s="3"/>
      <c r="D545" s="4"/>
      <c r="E545" s="4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2"/>
      <c r="B546" s="2"/>
      <c r="C546" s="3"/>
      <c r="D546" s="4"/>
      <c r="E546" s="4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2"/>
      <c r="B547" s="2"/>
      <c r="C547" s="3"/>
      <c r="D547" s="4"/>
      <c r="E547" s="4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2"/>
      <c r="B548" s="2"/>
      <c r="C548" s="3"/>
      <c r="D548" s="4"/>
      <c r="E548" s="4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2"/>
      <c r="B549" s="2"/>
      <c r="C549" s="3"/>
      <c r="D549" s="4"/>
      <c r="E549" s="4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2"/>
      <c r="B550" s="2"/>
      <c r="C550" s="3"/>
      <c r="D550" s="4"/>
      <c r="E550" s="4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2"/>
      <c r="B551" s="2"/>
      <c r="C551" s="3"/>
      <c r="D551" s="4"/>
      <c r="E551" s="4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2"/>
      <c r="B552" s="2"/>
      <c r="C552" s="3"/>
      <c r="D552" s="4"/>
      <c r="E552" s="4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2"/>
      <c r="B553" s="2"/>
      <c r="C553" s="3"/>
      <c r="D553" s="4"/>
      <c r="E553" s="4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2"/>
      <c r="B554" s="2"/>
      <c r="C554" s="3"/>
      <c r="D554" s="4"/>
      <c r="E554" s="4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2"/>
      <c r="B555" s="2"/>
      <c r="C555" s="3"/>
      <c r="D555" s="4"/>
      <c r="E555" s="4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2"/>
      <c r="B556" s="2"/>
      <c r="C556" s="3"/>
      <c r="D556" s="4"/>
      <c r="E556" s="4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2"/>
      <c r="B557" s="2"/>
      <c r="C557" s="3"/>
      <c r="D557" s="4"/>
      <c r="E557" s="4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2"/>
      <c r="B558" s="2"/>
      <c r="C558" s="3"/>
      <c r="D558" s="4"/>
      <c r="E558" s="4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2"/>
      <c r="B559" s="2"/>
      <c r="C559" s="3"/>
      <c r="D559" s="4"/>
      <c r="E559" s="4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2"/>
      <c r="B560" s="2"/>
      <c r="C560" s="3"/>
      <c r="D560" s="4"/>
      <c r="E560" s="4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2"/>
      <c r="B561" s="2"/>
      <c r="C561" s="3"/>
      <c r="D561" s="4"/>
      <c r="E561" s="4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2"/>
      <c r="B562" s="2"/>
      <c r="C562" s="3"/>
      <c r="D562" s="4"/>
      <c r="E562" s="4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2"/>
      <c r="B563" s="2"/>
      <c r="C563" s="3"/>
      <c r="D563" s="4"/>
      <c r="E563" s="4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2"/>
      <c r="B564" s="2"/>
      <c r="C564" s="3"/>
      <c r="D564" s="4"/>
      <c r="E564" s="4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2"/>
      <c r="B565" s="2"/>
      <c r="C565" s="3"/>
      <c r="D565" s="4"/>
      <c r="E565" s="4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2"/>
      <c r="B566" s="2"/>
      <c r="C566" s="3"/>
      <c r="D566" s="4"/>
      <c r="E566" s="4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2"/>
      <c r="B567" s="2"/>
      <c r="C567" s="3"/>
      <c r="D567" s="4"/>
      <c r="E567" s="4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2"/>
      <c r="B568" s="2"/>
      <c r="C568" s="3"/>
      <c r="D568" s="4"/>
      <c r="E568" s="4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2"/>
      <c r="B569" s="2"/>
      <c r="C569" s="3"/>
      <c r="D569" s="4"/>
      <c r="E569" s="4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2"/>
      <c r="B570" s="2"/>
      <c r="C570" s="3"/>
      <c r="D570" s="4"/>
      <c r="E570" s="4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2"/>
      <c r="B571" s="2"/>
      <c r="C571" s="3"/>
      <c r="D571" s="4"/>
      <c r="E571" s="4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2"/>
      <c r="B572" s="2"/>
      <c r="C572" s="3"/>
      <c r="D572" s="4"/>
      <c r="E572" s="4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2"/>
      <c r="B573" s="2"/>
      <c r="C573" s="3"/>
      <c r="D573" s="4"/>
      <c r="E573" s="4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2"/>
      <c r="B574" s="2"/>
      <c r="C574" s="3"/>
      <c r="D574" s="4"/>
      <c r="E574" s="4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2"/>
      <c r="B575" s="2"/>
      <c r="C575" s="3"/>
      <c r="D575" s="4"/>
      <c r="E575" s="4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2"/>
      <c r="B576" s="2"/>
      <c r="C576" s="3"/>
      <c r="D576" s="4"/>
      <c r="E576" s="4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2"/>
      <c r="B577" s="2"/>
      <c r="C577" s="3"/>
      <c r="D577" s="4"/>
      <c r="E577" s="4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2"/>
      <c r="B578" s="2"/>
      <c r="C578" s="3"/>
      <c r="D578" s="4"/>
      <c r="E578" s="4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2"/>
      <c r="B579" s="2"/>
      <c r="C579" s="3"/>
      <c r="D579" s="4"/>
      <c r="E579" s="4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2"/>
      <c r="B580" s="2"/>
      <c r="C580" s="3"/>
      <c r="D580" s="4"/>
      <c r="E580" s="4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2"/>
      <c r="B581" s="2"/>
      <c r="C581" s="3"/>
      <c r="D581" s="4"/>
      <c r="E581" s="4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2"/>
      <c r="B582" s="2"/>
      <c r="C582" s="3"/>
      <c r="D582" s="4"/>
      <c r="E582" s="4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2"/>
      <c r="B583" s="2"/>
      <c r="C583" s="3"/>
      <c r="D583" s="4"/>
      <c r="E583" s="4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2"/>
      <c r="B584" s="2"/>
      <c r="C584" s="3"/>
      <c r="D584" s="4"/>
      <c r="E584" s="4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2"/>
      <c r="B585" s="2"/>
      <c r="C585" s="3"/>
      <c r="D585" s="4"/>
      <c r="E585" s="4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2"/>
      <c r="B586" s="2"/>
      <c r="C586" s="3"/>
      <c r="D586" s="4"/>
      <c r="E586" s="4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2"/>
      <c r="B587" s="2"/>
      <c r="C587" s="3"/>
      <c r="D587" s="4"/>
      <c r="E587" s="4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2"/>
      <c r="B588" s="2"/>
      <c r="C588" s="3"/>
      <c r="D588" s="4"/>
      <c r="E588" s="4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2"/>
      <c r="B589" s="2"/>
      <c r="C589" s="3"/>
      <c r="D589" s="4"/>
      <c r="E589" s="4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2"/>
      <c r="B590" s="2"/>
      <c r="C590" s="3"/>
      <c r="D590" s="4"/>
      <c r="E590" s="4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2"/>
      <c r="B591" s="2"/>
      <c r="C591" s="3"/>
      <c r="D591" s="4"/>
      <c r="E591" s="4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2"/>
      <c r="B592" s="2"/>
      <c r="C592" s="3"/>
      <c r="D592" s="4"/>
      <c r="E592" s="4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2"/>
      <c r="B593" s="2"/>
      <c r="C593" s="3"/>
      <c r="D593" s="4"/>
      <c r="E593" s="4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2"/>
      <c r="B594" s="2"/>
      <c r="C594" s="3"/>
      <c r="D594" s="4"/>
      <c r="E594" s="4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2"/>
      <c r="B595" s="2"/>
      <c r="C595" s="3"/>
      <c r="D595" s="4"/>
      <c r="E595" s="4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2"/>
      <c r="B596" s="2"/>
      <c r="C596" s="3"/>
      <c r="D596" s="4"/>
      <c r="E596" s="4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2"/>
      <c r="B597" s="2"/>
      <c r="C597" s="3"/>
      <c r="D597" s="4"/>
      <c r="E597" s="4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2"/>
      <c r="B598" s="2"/>
      <c r="C598" s="3"/>
      <c r="D598" s="4"/>
      <c r="E598" s="4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2"/>
      <c r="B599" s="2"/>
      <c r="C599" s="3"/>
      <c r="D599" s="4"/>
      <c r="E599" s="4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2"/>
      <c r="B600" s="2"/>
      <c r="C600" s="3"/>
      <c r="D600" s="4"/>
      <c r="E600" s="4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2"/>
      <c r="B601" s="2"/>
      <c r="C601" s="3"/>
      <c r="D601" s="4"/>
      <c r="E601" s="4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2"/>
      <c r="B602" s="2"/>
      <c r="C602" s="3"/>
      <c r="D602" s="4"/>
      <c r="E602" s="4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2"/>
      <c r="B603" s="2"/>
      <c r="C603" s="3"/>
      <c r="D603" s="4"/>
      <c r="E603" s="4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2"/>
      <c r="B604" s="2"/>
      <c r="C604" s="3"/>
      <c r="D604" s="4"/>
      <c r="E604" s="4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2"/>
      <c r="B605" s="2"/>
      <c r="C605" s="3"/>
      <c r="D605" s="4"/>
      <c r="E605" s="4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2"/>
      <c r="B606" s="2"/>
      <c r="C606" s="3"/>
      <c r="D606" s="4"/>
      <c r="E606" s="4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2"/>
      <c r="B607" s="2"/>
      <c r="C607" s="3"/>
      <c r="D607" s="4"/>
      <c r="E607" s="4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2"/>
      <c r="B608" s="2"/>
      <c r="C608" s="3"/>
      <c r="D608" s="4"/>
      <c r="E608" s="4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2"/>
      <c r="B609" s="2"/>
      <c r="C609" s="3"/>
      <c r="D609" s="4"/>
      <c r="E609" s="4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2"/>
      <c r="B610" s="2"/>
      <c r="C610" s="3"/>
      <c r="D610" s="4"/>
      <c r="E610" s="4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2"/>
      <c r="B611" s="2"/>
      <c r="C611" s="3"/>
      <c r="D611" s="4"/>
      <c r="E611" s="4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2"/>
      <c r="B612" s="2"/>
      <c r="C612" s="3"/>
      <c r="D612" s="4"/>
      <c r="E612" s="4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2"/>
      <c r="B613" s="2"/>
      <c r="C613" s="3"/>
      <c r="D613" s="4"/>
      <c r="E613" s="4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2"/>
      <c r="B614" s="2"/>
      <c r="C614" s="3"/>
      <c r="D614" s="4"/>
      <c r="E614" s="4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2"/>
      <c r="B615" s="2"/>
      <c r="C615" s="3"/>
      <c r="D615" s="4"/>
      <c r="E615" s="4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2"/>
      <c r="B616" s="2"/>
      <c r="C616" s="3"/>
      <c r="D616" s="4"/>
      <c r="E616" s="4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2"/>
      <c r="B617" s="2"/>
      <c r="C617" s="3"/>
      <c r="D617" s="4"/>
      <c r="E617" s="4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2"/>
      <c r="B618" s="2"/>
      <c r="C618" s="3"/>
      <c r="D618" s="4"/>
      <c r="E618" s="4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2"/>
      <c r="B619" s="2"/>
      <c r="C619" s="3"/>
      <c r="D619" s="4"/>
      <c r="E619" s="4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2"/>
      <c r="B620" s="2"/>
      <c r="C620" s="3"/>
      <c r="D620" s="4"/>
      <c r="E620" s="4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2"/>
      <c r="B621" s="2"/>
      <c r="C621" s="3"/>
      <c r="D621" s="4"/>
      <c r="E621" s="4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2"/>
      <c r="B622" s="2"/>
      <c r="C622" s="3"/>
      <c r="D622" s="4"/>
      <c r="E622" s="4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2"/>
      <c r="B623" s="2"/>
      <c r="C623" s="3"/>
      <c r="D623" s="4"/>
      <c r="E623" s="4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2"/>
      <c r="B624" s="2"/>
      <c r="C624" s="3"/>
      <c r="D624" s="4"/>
      <c r="E624" s="4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2"/>
      <c r="B625" s="2"/>
      <c r="C625" s="3"/>
      <c r="D625" s="4"/>
      <c r="E625" s="4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2"/>
      <c r="B626" s="2"/>
      <c r="C626" s="3"/>
      <c r="D626" s="4"/>
      <c r="E626" s="4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2"/>
      <c r="B627" s="2"/>
      <c r="C627" s="3"/>
      <c r="D627" s="4"/>
      <c r="E627" s="4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2"/>
      <c r="B628" s="2"/>
      <c r="C628" s="3"/>
      <c r="D628" s="4"/>
      <c r="E628" s="4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2"/>
      <c r="B629" s="2"/>
      <c r="C629" s="3"/>
      <c r="D629" s="4"/>
      <c r="E629" s="4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2"/>
      <c r="B630" s="2"/>
      <c r="C630" s="3"/>
      <c r="D630" s="4"/>
      <c r="E630" s="4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2"/>
      <c r="B631" s="2"/>
      <c r="C631" s="3"/>
      <c r="D631" s="4"/>
      <c r="E631" s="4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2"/>
      <c r="B632" s="2"/>
      <c r="C632" s="3"/>
      <c r="D632" s="4"/>
      <c r="E632" s="4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2"/>
      <c r="B633" s="2"/>
      <c r="C633" s="3"/>
      <c r="D633" s="4"/>
      <c r="E633" s="4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2"/>
      <c r="B634" s="2"/>
      <c r="C634" s="3"/>
      <c r="D634" s="4"/>
      <c r="E634" s="4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2"/>
      <c r="B635" s="2"/>
      <c r="C635" s="3"/>
      <c r="D635" s="4"/>
      <c r="E635" s="4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2"/>
      <c r="B636" s="2"/>
      <c r="C636" s="3"/>
      <c r="D636" s="4"/>
      <c r="E636" s="4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2"/>
      <c r="B637" s="2"/>
      <c r="C637" s="3"/>
      <c r="D637" s="4"/>
      <c r="E637" s="4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2"/>
      <c r="B638" s="2"/>
      <c r="C638" s="3"/>
      <c r="D638" s="4"/>
      <c r="E638" s="4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2"/>
      <c r="B639" s="2"/>
      <c r="C639" s="3"/>
      <c r="D639" s="4"/>
      <c r="E639" s="4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2"/>
      <c r="B640" s="2"/>
      <c r="C640" s="3"/>
      <c r="D640" s="4"/>
      <c r="E640" s="4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2"/>
      <c r="B641" s="2"/>
      <c r="C641" s="3"/>
      <c r="D641" s="4"/>
      <c r="E641" s="4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2"/>
      <c r="B642" s="2"/>
      <c r="C642" s="3"/>
      <c r="D642" s="4"/>
      <c r="E642" s="4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2"/>
      <c r="B643" s="2"/>
      <c r="C643" s="3"/>
      <c r="D643" s="4"/>
      <c r="E643" s="4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2"/>
      <c r="B644" s="2"/>
      <c r="C644" s="3"/>
      <c r="D644" s="4"/>
      <c r="E644" s="4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2"/>
      <c r="B645" s="2"/>
      <c r="C645" s="3"/>
      <c r="D645" s="4"/>
      <c r="E645" s="4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2"/>
      <c r="B646" s="2"/>
      <c r="C646" s="3"/>
      <c r="D646" s="4"/>
      <c r="E646" s="4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2"/>
      <c r="B647" s="2"/>
      <c r="C647" s="3"/>
      <c r="D647" s="4"/>
      <c r="E647" s="4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2"/>
      <c r="B648" s="2"/>
      <c r="C648" s="3"/>
      <c r="D648" s="4"/>
      <c r="E648" s="4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2"/>
      <c r="B649" s="2"/>
      <c r="C649" s="3"/>
      <c r="D649" s="4"/>
      <c r="E649" s="4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2"/>
      <c r="B650" s="2"/>
      <c r="C650" s="3"/>
      <c r="D650" s="4"/>
      <c r="E650" s="4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2"/>
      <c r="B651" s="2"/>
      <c r="C651" s="3"/>
      <c r="D651" s="4"/>
      <c r="E651" s="4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2"/>
      <c r="B652" s="2"/>
      <c r="C652" s="3"/>
      <c r="D652" s="4"/>
      <c r="E652" s="4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2"/>
      <c r="B653" s="2"/>
      <c r="C653" s="3"/>
      <c r="D653" s="4"/>
      <c r="E653" s="4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2"/>
      <c r="B654" s="2"/>
      <c r="C654" s="3"/>
      <c r="D654" s="4"/>
      <c r="E654" s="4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2"/>
      <c r="B655" s="2"/>
      <c r="C655" s="3"/>
      <c r="D655" s="4"/>
      <c r="E655" s="4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2"/>
      <c r="B656" s="2"/>
      <c r="C656" s="3"/>
      <c r="D656" s="4"/>
      <c r="E656" s="4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2"/>
      <c r="B657" s="2"/>
      <c r="C657" s="3"/>
      <c r="D657" s="4"/>
      <c r="E657" s="4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2"/>
      <c r="B658" s="2"/>
      <c r="C658" s="3"/>
      <c r="D658" s="4"/>
      <c r="E658" s="4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2"/>
      <c r="B659" s="2"/>
      <c r="C659" s="3"/>
      <c r="D659" s="4"/>
      <c r="E659" s="4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2"/>
      <c r="B660" s="2"/>
      <c r="C660" s="3"/>
      <c r="D660" s="4"/>
      <c r="E660" s="4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2"/>
      <c r="B661" s="2"/>
      <c r="C661" s="3"/>
      <c r="D661" s="4"/>
      <c r="E661" s="4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2"/>
      <c r="B662" s="2"/>
      <c r="C662" s="3"/>
      <c r="D662" s="4"/>
      <c r="E662" s="4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2"/>
      <c r="B663" s="2"/>
      <c r="C663" s="3"/>
      <c r="D663" s="4"/>
      <c r="E663" s="4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2"/>
      <c r="B664" s="2"/>
      <c r="C664" s="3"/>
      <c r="D664" s="4"/>
      <c r="E664" s="4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2"/>
      <c r="B665" s="2"/>
      <c r="C665" s="3"/>
      <c r="D665" s="4"/>
      <c r="E665" s="4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2"/>
      <c r="B666" s="2"/>
      <c r="C666" s="3"/>
      <c r="D666" s="4"/>
      <c r="E666" s="4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2"/>
      <c r="B667" s="2"/>
      <c r="C667" s="3"/>
      <c r="D667" s="4"/>
      <c r="E667" s="4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2"/>
      <c r="B668" s="2"/>
      <c r="C668" s="3"/>
      <c r="D668" s="4"/>
      <c r="E668" s="4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2"/>
      <c r="B669" s="2"/>
      <c r="C669" s="3"/>
      <c r="D669" s="4"/>
      <c r="E669" s="4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2"/>
      <c r="B670" s="2"/>
      <c r="C670" s="3"/>
      <c r="D670" s="4"/>
      <c r="E670" s="4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2"/>
      <c r="B671" s="2"/>
      <c r="C671" s="3"/>
      <c r="D671" s="4"/>
      <c r="E671" s="4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2"/>
      <c r="B672" s="2"/>
      <c r="C672" s="3"/>
      <c r="D672" s="4"/>
      <c r="E672" s="4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2"/>
      <c r="B673" s="2"/>
      <c r="C673" s="3"/>
      <c r="D673" s="4"/>
      <c r="E673" s="4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2"/>
      <c r="B674" s="2"/>
      <c r="C674" s="3"/>
      <c r="D674" s="4"/>
      <c r="E674" s="4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2"/>
      <c r="B675" s="2"/>
      <c r="C675" s="3"/>
      <c r="D675" s="4"/>
      <c r="E675" s="4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2"/>
      <c r="B676" s="2"/>
      <c r="C676" s="3"/>
      <c r="D676" s="4"/>
      <c r="E676" s="4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2"/>
      <c r="B677" s="2"/>
      <c r="C677" s="3"/>
      <c r="D677" s="4"/>
      <c r="E677" s="4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2"/>
      <c r="B678" s="2"/>
      <c r="C678" s="3"/>
      <c r="D678" s="4"/>
      <c r="E678" s="4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2"/>
      <c r="B679" s="2"/>
      <c r="C679" s="3"/>
      <c r="D679" s="4"/>
      <c r="E679" s="4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2"/>
      <c r="B680" s="2"/>
      <c r="C680" s="3"/>
      <c r="D680" s="4"/>
      <c r="E680" s="4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2"/>
      <c r="B681" s="2"/>
      <c r="C681" s="3"/>
      <c r="D681" s="4"/>
      <c r="E681" s="4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2"/>
      <c r="B682" s="2"/>
      <c r="C682" s="3"/>
      <c r="D682" s="4"/>
      <c r="E682" s="4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2"/>
      <c r="B683" s="2"/>
      <c r="C683" s="3"/>
      <c r="D683" s="4"/>
      <c r="E683" s="4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2"/>
      <c r="B684" s="2"/>
      <c r="C684" s="3"/>
      <c r="D684" s="4"/>
      <c r="E684" s="4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2"/>
      <c r="B685" s="2"/>
      <c r="C685" s="3"/>
      <c r="D685" s="4"/>
      <c r="E685" s="4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2"/>
      <c r="B686" s="2"/>
      <c r="C686" s="3"/>
      <c r="D686" s="4"/>
      <c r="E686" s="4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2"/>
      <c r="B687" s="2"/>
      <c r="C687" s="3"/>
      <c r="D687" s="4"/>
      <c r="E687" s="4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2"/>
      <c r="B688" s="2"/>
      <c r="C688" s="3"/>
      <c r="D688" s="4"/>
      <c r="E688" s="4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2"/>
      <c r="B689" s="2"/>
      <c r="C689" s="3"/>
      <c r="D689" s="4"/>
      <c r="E689" s="4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2"/>
      <c r="B690" s="2"/>
      <c r="C690" s="3"/>
      <c r="D690" s="4"/>
      <c r="E690" s="4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2"/>
      <c r="B691" s="2"/>
      <c r="C691" s="3"/>
      <c r="D691" s="4"/>
      <c r="E691" s="4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2"/>
      <c r="B692" s="2"/>
      <c r="C692" s="3"/>
      <c r="D692" s="4"/>
      <c r="E692" s="4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2"/>
      <c r="B693" s="2"/>
      <c r="C693" s="3"/>
      <c r="D693" s="4"/>
      <c r="E693" s="4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2"/>
      <c r="B694" s="2"/>
      <c r="C694" s="3"/>
      <c r="D694" s="4"/>
      <c r="E694" s="4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2"/>
      <c r="B695" s="2"/>
      <c r="C695" s="3"/>
      <c r="D695" s="4"/>
      <c r="E695" s="4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2"/>
      <c r="B696" s="2"/>
      <c r="C696" s="3"/>
      <c r="D696" s="4"/>
      <c r="E696" s="4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2"/>
      <c r="B697" s="2"/>
      <c r="C697" s="3"/>
      <c r="D697" s="4"/>
      <c r="E697" s="4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2"/>
      <c r="B698" s="2"/>
      <c r="C698" s="3"/>
      <c r="D698" s="4"/>
      <c r="E698" s="4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2"/>
      <c r="B699" s="2"/>
      <c r="C699" s="3"/>
      <c r="D699" s="4"/>
      <c r="E699" s="4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2"/>
      <c r="B700" s="2"/>
      <c r="C700" s="3"/>
      <c r="D700" s="4"/>
      <c r="E700" s="4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2"/>
      <c r="B701" s="2"/>
      <c r="C701" s="3"/>
      <c r="D701" s="4"/>
      <c r="E701" s="4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2"/>
      <c r="B702" s="2"/>
      <c r="C702" s="3"/>
      <c r="D702" s="4"/>
      <c r="E702" s="4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2"/>
      <c r="B703" s="2"/>
      <c r="C703" s="3"/>
      <c r="D703" s="4"/>
      <c r="E703" s="4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2"/>
      <c r="B704" s="2"/>
      <c r="C704" s="3"/>
      <c r="D704" s="4"/>
      <c r="E704" s="4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2"/>
      <c r="B705" s="2"/>
      <c r="C705" s="3"/>
      <c r="D705" s="4"/>
      <c r="E705" s="4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2"/>
      <c r="B706" s="2"/>
      <c r="C706" s="3"/>
      <c r="D706" s="4"/>
      <c r="E706" s="4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2"/>
      <c r="B707" s="2"/>
      <c r="C707" s="3"/>
      <c r="D707" s="4"/>
      <c r="E707" s="4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2"/>
      <c r="B708" s="2"/>
      <c r="C708" s="3"/>
      <c r="D708" s="4"/>
      <c r="E708" s="4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2"/>
      <c r="B709" s="2"/>
      <c r="C709" s="3"/>
      <c r="D709" s="4"/>
      <c r="E709" s="4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2"/>
      <c r="B710" s="2"/>
      <c r="C710" s="3"/>
      <c r="D710" s="4"/>
      <c r="E710" s="4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2"/>
      <c r="B711" s="2"/>
      <c r="C711" s="3"/>
      <c r="D711" s="4"/>
      <c r="E711" s="4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2"/>
      <c r="B712" s="2"/>
      <c r="C712" s="3"/>
      <c r="D712" s="4"/>
      <c r="E712" s="4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2"/>
      <c r="B713" s="2"/>
      <c r="C713" s="3"/>
      <c r="D713" s="4"/>
      <c r="E713" s="4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2"/>
      <c r="B714" s="2"/>
      <c r="C714" s="3"/>
      <c r="D714" s="4"/>
      <c r="E714" s="4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2"/>
      <c r="B715" s="2"/>
      <c r="C715" s="3"/>
      <c r="D715" s="4"/>
      <c r="E715" s="4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2"/>
      <c r="B716" s="2"/>
      <c r="C716" s="3"/>
      <c r="D716" s="4"/>
      <c r="E716" s="4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2"/>
      <c r="B717" s="2"/>
      <c r="C717" s="3"/>
      <c r="D717" s="4"/>
      <c r="E717" s="4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2"/>
      <c r="B718" s="2"/>
      <c r="C718" s="3"/>
      <c r="D718" s="4"/>
      <c r="E718" s="4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2"/>
      <c r="B719" s="2"/>
      <c r="C719" s="3"/>
      <c r="D719" s="4"/>
      <c r="E719" s="4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2"/>
      <c r="B720" s="2"/>
      <c r="C720" s="3"/>
      <c r="D720" s="4"/>
      <c r="E720" s="4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2"/>
      <c r="B721" s="2"/>
      <c r="C721" s="3"/>
      <c r="D721" s="4"/>
      <c r="E721" s="4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2"/>
      <c r="B722" s="2"/>
      <c r="C722" s="3"/>
      <c r="D722" s="4"/>
      <c r="E722" s="4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2"/>
      <c r="B723" s="2"/>
      <c r="C723" s="3"/>
      <c r="D723" s="4"/>
      <c r="E723" s="4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2"/>
      <c r="B724" s="2"/>
      <c r="C724" s="3"/>
      <c r="D724" s="4"/>
      <c r="E724" s="4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2"/>
      <c r="B725" s="2"/>
      <c r="C725" s="3"/>
      <c r="D725" s="4"/>
      <c r="E725" s="4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2"/>
      <c r="B726" s="2"/>
      <c r="C726" s="3"/>
      <c r="D726" s="4"/>
      <c r="E726" s="4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2"/>
      <c r="B727" s="2"/>
      <c r="C727" s="3"/>
      <c r="D727" s="4"/>
      <c r="E727" s="4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2"/>
      <c r="B728" s="2"/>
      <c r="C728" s="3"/>
      <c r="D728" s="4"/>
      <c r="E728" s="4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2"/>
      <c r="B729" s="2"/>
      <c r="C729" s="3"/>
      <c r="D729" s="4"/>
      <c r="E729" s="4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2"/>
      <c r="B730" s="2"/>
      <c r="C730" s="3"/>
      <c r="D730" s="4"/>
      <c r="E730" s="4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2"/>
      <c r="B731" s="2"/>
      <c r="C731" s="3"/>
      <c r="D731" s="4"/>
      <c r="E731" s="4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2"/>
      <c r="B732" s="2"/>
      <c r="C732" s="3"/>
      <c r="D732" s="4"/>
      <c r="E732" s="4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2"/>
      <c r="B733" s="2"/>
      <c r="C733" s="3"/>
      <c r="D733" s="4"/>
      <c r="E733" s="4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2"/>
      <c r="B734" s="2"/>
      <c r="C734" s="3"/>
      <c r="D734" s="4"/>
      <c r="E734" s="4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2"/>
      <c r="B735" s="2"/>
      <c r="C735" s="3"/>
      <c r="D735" s="4"/>
      <c r="E735" s="4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2"/>
      <c r="B736" s="2"/>
      <c r="C736" s="3"/>
      <c r="D736" s="4"/>
      <c r="E736" s="4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2"/>
      <c r="B737" s="2"/>
      <c r="C737" s="3"/>
      <c r="D737" s="4"/>
      <c r="E737" s="4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2"/>
      <c r="B738" s="2"/>
      <c r="C738" s="3"/>
      <c r="D738" s="4"/>
      <c r="E738" s="4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2"/>
      <c r="B739" s="2"/>
      <c r="C739" s="3"/>
      <c r="D739" s="4"/>
      <c r="E739" s="4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2"/>
      <c r="B740" s="2"/>
      <c r="C740" s="3"/>
      <c r="D740" s="4"/>
      <c r="E740" s="4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2"/>
      <c r="B741" s="2"/>
      <c r="C741" s="3"/>
      <c r="D741" s="4"/>
      <c r="E741" s="4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2"/>
      <c r="B742" s="2"/>
      <c r="C742" s="3"/>
      <c r="D742" s="4"/>
      <c r="E742" s="4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2"/>
      <c r="B743" s="2"/>
      <c r="C743" s="3"/>
      <c r="D743" s="4"/>
      <c r="E743" s="4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2"/>
      <c r="B744" s="2"/>
      <c r="C744" s="3"/>
      <c r="D744" s="4"/>
      <c r="E744" s="4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2"/>
      <c r="B745" s="2"/>
      <c r="C745" s="3"/>
      <c r="D745" s="4"/>
      <c r="E745" s="4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2"/>
      <c r="B746" s="2"/>
      <c r="C746" s="3"/>
      <c r="D746" s="4"/>
      <c r="E746" s="4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2"/>
      <c r="B747" s="2"/>
      <c r="C747" s="3"/>
      <c r="D747" s="4"/>
      <c r="E747" s="4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2"/>
      <c r="B748" s="2"/>
      <c r="C748" s="3"/>
      <c r="D748" s="4"/>
      <c r="E748" s="4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2"/>
      <c r="B749" s="2"/>
      <c r="C749" s="3"/>
      <c r="D749" s="4"/>
      <c r="E749" s="4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2"/>
      <c r="B750" s="2"/>
      <c r="C750" s="3"/>
      <c r="D750" s="4"/>
      <c r="E750" s="4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2"/>
      <c r="B751" s="2"/>
      <c r="C751" s="3"/>
      <c r="D751" s="4"/>
      <c r="E751" s="4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2"/>
      <c r="B752" s="2"/>
      <c r="C752" s="3"/>
      <c r="D752" s="4"/>
      <c r="E752" s="4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2"/>
      <c r="B753" s="2"/>
      <c r="C753" s="3"/>
      <c r="D753" s="4"/>
      <c r="E753" s="4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2"/>
      <c r="B754" s="2"/>
      <c r="C754" s="3"/>
      <c r="D754" s="4"/>
      <c r="E754" s="4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2"/>
      <c r="B755" s="2"/>
      <c r="C755" s="3"/>
      <c r="D755" s="4"/>
      <c r="E755" s="4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2"/>
      <c r="B756" s="2"/>
      <c r="C756" s="3"/>
      <c r="D756" s="4"/>
      <c r="E756" s="4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2"/>
      <c r="B757" s="2"/>
      <c r="C757" s="3"/>
      <c r="D757" s="4"/>
      <c r="E757" s="4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2"/>
      <c r="B758" s="2"/>
      <c r="C758" s="3"/>
      <c r="D758" s="4"/>
      <c r="E758" s="4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2"/>
      <c r="B759" s="2"/>
      <c r="C759" s="3"/>
      <c r="D759" s="4"/>
      <c r="E759" s="4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2"/>
      <c r="B760" s="2"/>
      <c r="C760" s="3"/>
      <c r="D760" s="4"/>
      <c r="E760" s="4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2"/>
      <c r="B761" s="2"/>
      <c r="C761" s="3"/>
      <c r="D761" s="4"/>
      <c r="E761" s="4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2"/>
      <c r="B762" s="2"/>
      <c r="C762" s="3"/>
      <c r="D762" s="4"/>
      <c r="E762" s="4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2"/>
      <c r="B763" s="2"/>
      <c r="C763" s="3"/>
      <c r="D763" s="4"/>
      <c r="E763" s="4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2"/>
      <c r="B764" s="2"/>
      <c r="C764" s="3"/>
      <c r="D764" s="4"/>
      <c r="E764" s="4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2"/>
      <c r="B765" s="2"/>
      <c r="C765" s="3"/>
      <c r="D765" s="4"/>
      <c r="E765" s="4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2"/>
      <c r="B766" s="2"/>
      <c r="C766" s="3"/>
      <c r="D766" s="4"/>
      <c r="E766" s="4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2"/>
      <c r="B767" s="2"/>
      <c r="C767" s="3"/>
      <c r="D767" s="4"/>
      <c r="E767" s="4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2"/>
      <c r="B768" s="2"/>
      <c r="C768" s="3"/>
      <c r="D768" s="4"/>
      <c r="E768" s="4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2"/>
      <c r="B769" s="2"/>
      <c r="C769" s="3"/>
      <c r="D769" s="4"/>
      <c r="E769" s="4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2"/>
      <c r="B770" s="2"/>
      <c r="C770" s="3"/>
      <c r="D770" s="4"/>
      <c r="E770" s="4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2"/>
      <c r="B771" s="2"/>
      <c r="C771" s="3"/>
      <c r="D771" s="4"/>
      <c r="E771" s="4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2"/>
      <c r="B772" s="2"/>
      <c r="C772" s="3"/>
      <c r="D772" s="4"/>
      <c r="E772" s="4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2"/>
      <c r="B773" s="2"/>
      <c r="C773" s="3"/>
      <c r="D773" s="4"/>
      <c r="E773" s="4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2"/>
      <c r="B774" s="2"/>
      <c r="C774" s="3"/>
      <c r="D774" s="4"/>
      <c r="E774" s="4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2"/>
      <c r="B775" s="2"/>
      <c r="C775" s="3"/>
      <c r="D775" s="4"/>
      <c r="E775" s="4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2"/>
      <c r="B776" s="2"/>
      <c r="C776" s="3"/>
      <c r="D776" s="4"/>
      <c r="E776" s="4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2"/>
      <c r="B777" s="2"/>
      <c r="C777" s="3"/>
      <c r="D777" s="4"/>
      <c r="E777" s="4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2"/>
      <c r="B778" s="2"/>
      <c r="C778" s="3"/>
      <c r="D778" s="4"/>
      <c r="E778" s="4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2"/>
      <c r="B779" s="2"/>
      <c r="C779" s="3"/>
      <c r="D779" s="4"/>
      <c r="E779" s="4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2"/>
      <c r="B780" s="2"/>
      <c r="C780" s="3"/>
      <c r="D780" s="4"/>
      <c r="E780" s="4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2"/>
      <c r="B781" s="2"/>
      <c r="C781" s="3"/>
      <c r="D781" s="4"/>
      <c r="E781" s="4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2"/>
      <c r="B782" s="2"/>
      <c r="C782" s="3"/>
      <c r="D782" s="4"/>
      <c r="E782" s="4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2"/>
      <c r="B783" s="2"/>
      <c r="C783" s="3"/>
      <c r="D783" s="4"/>
      <c r="E783" s="4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2"/>
      <c r="B784" s="2"/>
      <c r="C784" s="3"/>
      <c r="D784" s="4"/>
      <c r="E784" s="4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2"/>
      <c r="B785" s="2"/>
      <c r="C785" s="3"/>
      <c r="D785" s="4"/>
      <c r="E785" s="4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2"/>
      <c r="B786" s="2"/>
      <c r="C786" s="3"/>
      <c r="D786" s="4"/>
      <c r="E786" s="4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2"/>
      <c r="B787" s="2"/>
      <c r="C787" s="3"/>
      <c r="D787" s="4"/>
      <c r="E787" s="4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2"/>
      <c r="B788" s="2"/>
      <c r="C788" s="3"/>
      <c r="D788" s="4"/>
      <c r="E788" s="4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2"/>
      <c r="B789" s="2"/>
      <c r="C789" s="3"/>
      <c r="D789" s="4"/>
      <c r="E789" s="4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2"/>
      <c r="B790" s="2"/>
      <c r="C790" s="3"/>
      <c r="D790" s="4"/>
      <c r="E790" s="4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2"/>
      <c r="B791" s="2"/>
      <c r="C791" s="3"/>
      <c r="D791" s="4"/>
      <c r="E791" s="4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2"/>
      <c r="B792" s="2"/>
      <c r="C792" s="3"/>
      <c r="D792" s="4"/>
      <c r="E792" s="4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2"/>
      <c r="B793" s="2"/>
      <c r="C793" s="3"/>
      <c r="D793" s="4"/>
      <c r="E793" s="4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2"/>
      <c r="B794" s="2"/>
      <c r="C794" s="3"/>
      <c r="D794" s="4"/>
      <c r="E794" s="4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2"/>
      <c r="B795" s="2"/>
      <c r="C795" s="3"/>
      <c r="D795" s="4"/>
      <c r="E795" s="4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2"/>
      <c r="B796" s="2"/>
      <c r="C796" s="3"/>
      <c r="D796" s="4"/>
      <c r="E796" s="4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2"/>
      <c r="B797" s="2"/>
      <c r="C797" s="3"/>
      <c r="D797" s="4"/>
      <c r="E797" s="4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2"/>
      <c r="B798" s="2"/>
      <c r="C798" s="3"/>
      <c r="D798" s="4"/>
      <c r="E798" s="4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2"/>
      <c r="B799" s="2"/>
      <c r="C799" s="3"/>
      <c r="D799" s="4"/>
      <c r="E799" s="4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2"/>
      <c r="B800" s="2"/>
      <c r="C800" s="3"/>
      <c r="D800" s="4"/>
      <c r="E800" s="4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2"/>
      <c r="B801" s="2"/>
      <c r="C801" s="3"/>
      <c r="D801" s="4"/>
      <c r="E801" s="4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2"/>
      <c r="B802" s="2"/>
      <c r="C802" s="3"/>
      <c r="D802" s="4"/>
      <c r="E802" s="4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2"/>
      <c r="B803" s="2"/>
      <c r="C803" s="3"/>
      <c r="D803" s="4"/>
      <c r="E803" s="4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2"/>
      <c r="B804" s="2"/>
      <c r="C804" s="3"/>
      <c r="D804" s="4"/>
      <c r="E804" s="4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2"/>
      <c r="B805" s="2"/>
      <c r="C805" s="3"/>
      <c r="D805" s="4"/>
      <c r="E805" s="4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2"/>
      <c r="B806" s="2"/>
      <c r="C806" s="3"/>
      <c r="D806" s="4"/>
      <c r="E806" s="4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2"/>
      <c r="B807" s="2"/>
      <c r="C807" s="3"/>
      <c r="D807" s="4"/>
      <c r="E807" s="4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2"/>
      <c r="B808" s="2"/>
      <c r="C808" s="3"/>
      <c r="D808" s="4"/>
      <c r="E808" s="4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2"/>
      <c r="B809" s="2"/>
      <c r="C809" s="3"/>
      <c r="D809" s="4"/>
      <c r="E809" s="4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2"/>
      <c r="B810" s="2"/>
      <c r="C810" s="3"/>
      <c r="D810" s="4"/>
      <c r="E810" s="4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2"/>
      <c r="B811" s="2"/>
      <c r="C811" s="3"/>
      <c r="D811" s="4"/>
      <c r="E811" s="4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2"/>
      <c r="B812" s="2"/>
      <c r="C812" s="3"/>
      <c r="D812" s="4"/>
      <c r="E812" s="4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2"/>
      <c r="B813" s="2"/>
      <c r="C813" s="3"/>
      <c r="D813" s="4"/>
      <c r="E813" s="4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2"/>
      <c r="B814" s="2"/>
      <c r="C814" s="3"/>
      <c r="D814" s="4"/>
      <c r="E814" s="4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2"/>
      <c r="B815" s="2"/>
      <c r="C815" s="3"/>
      <c r="D815" s="4"/>
      <c r="E815" s="4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2"/>
      <c r="B816" s="2"/>
      <c r="C816" s="3"/>
      <c r="D816" s="4"/>
      <c r="E816" s="4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2"/>
      <c r="B817" s="2"/>
      <c r="C817" s="3"/>
      <c r="D817" s="4"/>
      <c r="E817" s="4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2"/>
      <c r="B818" s="2"/>
      <c r="C818" s="3"/>
      <c r="D818" s="4"/>
      <c r="E818" s="4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2"/>
      <c r="B819" s="2"/>
      <c r="C819" s="3"/>
      <c r="D819" s="4"/>
      <c r="E819" s="4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2"/>
      <c r="B820" s="2"/>
      <c r="C820" s="3"/>
      <c r="D820" s="4"/>
      <c r="E820" s="4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2"/>
      <c r="B821" s="2"/>
      <c r="C821" s="3"/>
      <c r="D821" s="4"/>
      <c r="E821" s="4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2"/>
      <c r="B822" s="2"/>
      <c r="C822" s="3"/>
      <c r="D822" s="4"/>
      <c r="E822" s="4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2"/>
      <c r="B823" s="2"/>
      <c r="C823" s="3"/>
      <c r="D823" s="4"/>
      <c r="E823" s="4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2"/>
      <c r="B824" s="2"/>
      <c r="C824" s="3"/>
      <c r="D824" s="4"/>
      <c r="E824" s="4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2"/>
      <c r="B825" s="2"/>
      <c r="C825" s="3"/>
      <c r="D825" s="4"/>
      <c r="E825" s="4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2"/>
      <c r="B826" s="2"/>
      <c r="C826" s="3"/>
      <c r="D826" s="4"/>
      <c r="E826" s="4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2"/>
      <c r="B827" s="2"/>
      <c r="C827" s="3"/>
      <c r="D827" s="4"/>
      <c r="E827" s="4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2"/>
      <c r="B828" s="2"/>
      <c r="C828" s="3"/>
      <c r="D828" s="4"/>
      <c r="E828" s="4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2"/>
      <c r="B829" s="2"/>
      <c r="C829" s="3"/>
      <c r="D829" s="4"/>
      <c r="E829" s="4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2"/>
      <c r="B830" s="2"/>
      <c r="C830" s="3"/>
      <c r="D830" s="4"/>
      <c r="E830" s="4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2"/>
      <c r="B831" s="2"/>
      <c r="C831" s="3"/>
      <c r="D831" s="4"/>
      <c r="E831" s="4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2"/>
      <c r="B832" s="2"/>
      <c r="C832" s="3"/>
      <c r="D832" s="4"/>
      <c r="E832" s="4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2"/>
      <c r="B833" s="2"/>
      <c r="C833" s="3"/>
      <c r="D833" s="4"/>
      <c r="E833" s="4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2"/>
      <c r="B834" s="2"/>
      <c r="C834" s="3"/>
      <c r="D834" s="4"/>
      <c r="E834" s="4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2"/>
      <c r="B835" s="2"/>
      <c r="C835" s="3"/>
      <c r="D835" s="4"/>
      <c r="E835" s="4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2"/>
      <c r="B836" s="2"/>
      <c r="C836" s="3"/>
      <c r="D836" s="4"/>
      <c r="E836" s="4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2"/>
      <c r="B837" s="2"/>
      <c r="C837" s="3"/>
      <c r="D837" s="4"/>
      <c r="E837" s="4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2"/>
      <c r="B838" s="2"/>
      <c r="C838" s="3"/>
      <c r="D838" s="4"/>
      <c r="E838" s="4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2"/>
      <c r="B839" s="2"/>
      <c r="C839" s="3"/>
      <c r="D839" s="4"/>
      <c r="E839" s="4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2"/>
      <c r="B840" s="2"/>
      <c r="C840" s="3"/>
      <c r="D840" s="4"/>
      <c r="E840" s="4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2"/>
      <c r="B841" s="2"/>
      <c r="C841" s="3"/>
      <c r="D841" s="4"/>
      <c r="E841" s="4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2"/>
      <c r="B842" s="2"/>
      <c r="C842" s="3"/>
      <c r="D842" s="4"/>
      <c r="E842" s="4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2"/>
      <c r="B843" s="2"/>
      <c r="C843" s="3"/>
      <c r="D843" s="4"/>
      <c r="E843" s="4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2"/>
      <c r="B844" s="2"/>
      <c r="C844" s="3"/>
      <c r="D844" s="4"/>
      <c r="E844" s="4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2"/>
      <c r="B845" s="2"/>
      <c r="C845" s="3"/>
      <c r="D845" s="4"/>
      <c r="E845" s="4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2"/>
      <c r="B846" s="2"/>
      <c r="C846" s="3"/>
      <c r="D846" s="4"/>
      <c r="E846" s="4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2"/>
      <c r="B847" s="2"/>
      <c r="C847" s="3"/>
      <c r="D847" s="4"/>
      <c r="E847" s="4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2"/>
      <c r="B848" s="2"/>
      <c r="C848" s="3"/>
      <c r="D848" s="4"/>
      <c r="E848" s="4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2"/>
      <c r="B849" s="2"/>
      <c r="C849" s="3"/>
      <c r="D849" s="4"/>
      <c r="E849" s="4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2"/>
      <c r="B850" s="2"/>
      <c r="C850" s="3"/>
      <c r="D850" s="4"/>
      <c r="E850" s="4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2"/>
      <c r="B851" s="2"/>
      <c r="C851" s="3"/>
      <c r="D851" s="4"/>
      <c r="E851" s="4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2"/>
      <c r="B852" s="2"/>
      <c r="C852" s="3"/>
      <c r="D852" s="4"/>
      <c r="E852" s="4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2"/>
      <c r="B853" s="2"/>
      <c r="C853" s="3"/>
      <c r="D853" s="4"/>
      <c r="E853" s="4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2"/>
      <c r="B854" s="2"/>
      <c r="C854" s="3"/>
      <c r="D854" s="4"/>
      <c r="E854" s="4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2"/>
      <c r="B855" s="2"/>
      <c r="C855" s="3"/>
      <c r="D855" s="4"/>
      <c r="E855" s="4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2"/>
      <c r="B856" s="2"/>
      <c r="C856" s="3"/>
      <c r="D856" s="4"/>
      <c r="E856" s="4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2"/>
      <c r="B857" s="2"/>
      <c r="C857" s="3"/>
      <c r="D857" s="4"/>
      <c r="E857" s="4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2"/>
      <c r="B858" s="2"/>
      <c r="C858" s="3"/>
      <c r="D858" s="4"/>
      <c r="E858" s="4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2"/>
      <c r="B859" s="2"/>
      <c r="C859" s="3"/>
      <c r="D859" s="4"/>
      <c r="E859" s="4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2"/>
      <c r="B860" s="2"/>
      <c r="C860" s="3"/>
      <c r="D860" s="4"/>
      <c r="E860" s="4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2"/>
      <c r="B861" s="2"/>
      <c r="C861" s="3"/>
      <c r="D861" s="4"/>
      <c r="E861" s="4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2"/>
      <c r="B862" s="2"/>
      <c r="C862" s="3"/>
      <c r="D862" s="4"/>
      <c r="E862" s="4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2"/>
      <c r="B863" s="2"/>
      <c r="C863" s="3"/>
      <c r="D863" s="4"/>
      <c r="E863" s="4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2"/>
      <c r="B864" s="2"/>
      <c r="C864" s="3"/>
      <c r="D864" s="4"/>
      <c r="E864" s="4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2"/>
      <c r="B865" s="2"/>
      <c r="C865" s="3"/>
      <c r="D865" s="4"/>
      <c r="E865" s="4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2"/>
      <c r="B866" s="2"/>
      <c r="C866" s="3"/>
      <c r="D866" s="4"/>
      <c r="E866" s="4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2"/>
      <c r="B867" s="2"/>
      <c r="C867" s="3"/>
      <c r="D867" s="4"/>
      <c r="E867" s="4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2"/>
      <c r="B868" s="2"/>
      <c r="C868" s="3"/>
      <c r="D868" s="4"/>
      <c r="E868" s="4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2"/>
      <c r="B869" s="2"/>
      <c r="C869" s="3"/>
      <c r="D869" s="4"/>
      <c r="E869" s="4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2"/>
      <c r="B870" s="2"/>
      <c r="C870" s="3"/>
      <c r="D870" s="4"/>
      <c r="E870" s="4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2"/>
      <c r="B871" s="2"/>
      <c r="C871" s="3"/>
      <c r="D871" s="4"/>
      <c r="E871" s="4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2"/>
      <c r="B872" s="2"/>
      <c r="C872" s="3"/>
      <c r="D872" s="4"/>
      <c r="E872" s="4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2"/>
      <c r="B873" s="2"/>
      <c r="C873" s="3"/>
      <c r="D873" s="4"/>
      <c r="E873" s="4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2"/>
      <c r="B874" s="2"/>
      <c r="C874" s="3"/>
      <c r="D874" s="4"/>
      <c r="E874" s="4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2"/>
      <c r="B875" s="2"/>
      <c r="C875" s="3"/>
      <c r="D875" s="4"/>
      <c r="E875" s="4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2"/>
      <c r="B876" s="2"/>
      <c r="C876" s="3"/>
      <c r="D876" s="4"/>
      <c r="E876" s="4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2"/>
      <c r="B877" s="2"/>
      <c r="C877" s="3"/>
      <c r="D877" s="4"/>
      <c r="E877" s="4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2"/>
      <c r="B878" s="2"/>
      <c r="C878" s="3"/>
      <c r="D878" s="4"/>
      <c r="E878" s="4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2"/>
      <c r="B879" s="2"/>
      <c r="C879" s="3"/>
      <c r="D879" s="4"/>
      <c r="E879" s="4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2"/>
      <c r="B880" s="2"/>
      <c r="C880" s="3"/>
      <c r="D880" s="4"/>
      <c r="E880" s="4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2"/>
      <c r="B881" s="2"/>
      <c r="C881" s="3"/>
      <c r="D881" s="4"/>
      <c r="E881" s="4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2"/>
      <c r="B882" s="2"/>
      <c r="C882" s="3"/>
      <c r="D882" s="4"/>
      <c r="E882" s="4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2"/>
      <c r="B883" s="2"/>
      <c r="C883" s="3"/>
      <c r="D883" s="4"/>
      <c r="E883" s="4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2"/>
      <c r="B884" s="2"/>
      <c r="C884" s="3"/>
      <c r="D884" s="4"/>
      <c r="E884" s="4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2"/>
      <c r="B885" s="2"/>
      <c r="C885" s="3"/>
      <c r="D885" s="4"/>
      <c r="E885" s="4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2"/>
      <c r="B886" s="2"/>
      <c r="C886" s="3"/>
      <c r="D886" s="4"/>
      <c r="E886" s="4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2"/>
      <c r="B887" s="2"/>
      <c r="C887" s="3"/>
      <c r="D887" s="4"/>
      <c r="E887" s="4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2"/>
      <c r="B888" s="2"/>
      <c r="C888" s="3"/>
      <c r="D888" s="4"/>
      <c r="E888" s="4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2"/>
      <c r="B889" s="2"/>
      <c r="C889" s="3"/>
      <c r="D889" s="4"/>
      <c r="E889" s="4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2"/>
      <c r="B890" s="2"/>
      <c r="C890" s="3"/>
      <c r="D890" s="4"/>
      <c r="E890" s="4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2"/>
      <c r="B891" s="2"/>
      <c r="C891" s="3"/>
      <c r="D891" s="4"/>
      <c r="E891" s="4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2"/>
      <c r="B892" s="2"/>
      <c r="C892" s="3"/>
      <c r="D892" s="4"/>
      <c r="E892" s="4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2"/>
      <c r="B893" s="2"/>
      <c r="C893" s="3"/>
      <c r="D893" s="4"/>
      <c r="E893" s="4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2"/>
      <c r="B894" s="2"/>
      <c r="C894" s="3"/>
      <c r="D894" s="4"/>
      <c r="E894" s="4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2"/>
      <c r="B895" s="2"/>
      <c r="C895" s="3"/>
      <c r="D895" s="4"/>
      <c r="E895" s="4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2"/>
      <c r="B896" s="2"/>
      <c r="C896" s="3"/>
      <c r="D896" s="4"/>
      <c r="E896" s="4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2"/>
      <c r="B897" s="2"/>
      <c r="C897" s="3"/>
      <c r="D897" s="4"/>
      <c r="E897" s="4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2"/>
      <c r="B898" s="2"/>
      <c r="C898" s="3"/>
      <c r="D898" s="4"/>
      <c r="E898" s="4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2"/>
      <c r="B899" s="2"/>
      <c r="C899" s="3"/>
      <c r="D899" s="4"/>
      <c r="E899" s="4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2"/>
      <c r="B900" s="2"/>
      <c r="C900" s="3"/>
      <c r="D900" s="4"/>
      <c r="E900" s="4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2"/>
      <c r="B901" s="2"/>
      <c r="C901" s="3"/>
      <c r="D901" s="4"/>
      <c r="E901" s="4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2"/>
      <c r="B902" s="2"/>
      <c r="C902" s="3"/>
      <c r="D902" s="4"/>
      <c r="E902" s="4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2"/>
      <c r="B903" s="2"/>
      <c r="C903" s="3"/>
      <c r="D903" s="4"/>
      <c r="E903" s="4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2"/>
      <c r="B904" s="2"/>
      <c r="C904" s="3"/>
      <c r="D904" s="4"/>
      <c r="E904" s="4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2"/>
      <c r="B905" s="2"/>
      <c r="C905" s="3"/>
      <c r="D905" s="4"/>
      <c r="E905" s="4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2"/>
      <c r="B906" s="2"/>
      <c r="C906" s="3"/>
      <c r="D906" s="4"/>
      <c r="E906" s="4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2"/>
      <c r="B907" s="2"/>
      <c r="C907" s="3"/>
      <c r="D907" s="4"/>
      <c r="E907" s="4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2"/>
      <c r="B908" s="2"/>
      <c r="C908" s="3"/>
      <c r="D908" s="4"/>
      <c r="E908" s="4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2"/>
      <c r="B909" s="2"/>
      <c r="C909" s="3"/>
      <c r="D909" s="4"/>
      <c r="E909" s="4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2"/>
      <c r="B910" s="2"/>
      <c r="C910" s="3"/>
      <c r="D910" s="4"/>
      <c r="E910" s="4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2"/>
      <c r="B911" s="2"/>
      <c r="C911" s="3"/>
      <c r="D911" s="4"/>
      <c r="E911" s="4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2"/>
      <c r="B912" s="2"/>
      <c r="C912" s="3"/>
      <c r="D912" s="4"/>
      <c r="E912" s="4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2"/>
      <c r="B913" s="2"/>
      <c r="C913" s="3"/>
      <c r="D913" s="4"/>
      <c r="E913" s="4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2"/>
      <c r="B914" s="2"/>
      <c r="C914" s="3"/>
      <c r="D914" s="4"/>
      <c r="E914" s="4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2"/>
      <c r="B915" s="2"/>
      <c r="C915" s="3"/>
      <c r="D915" s="4"/>
      <c r="E915" s="4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2"/>
      <c r="B916" s="2"/>
      <c r="C916" s="3"/>
      <c r="D916" s="4"/>
      <c r="E916" s="4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2"/>
      <c r="B917" s="2"/>
      <c r="C917" s="3"/>
      <c r="D917" s="4"/>
      <c r="E917" s="4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2"/>
      <c r="B918" s="2"/>
      <c r="C918" s="3"/>
      <c r="D918" s="4"/>
      <c r="E918" s="4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2"/>
      <c r="B919" s="2"/>
      <c r="C919" s="3"/>
      <c r="D919" s="4"/>
      <c r="E919" s="4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2"/>
      <c r="B920" s="2"/>
      <c r="C920" s="3"/>
      <c r="D920" s="4"/>
      <c r="E920" s="4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2"/>
      <c r="B921" s="2"/>
      <c r="C921" s="3"/>
      <c r="D921" s="4"/>
      <c r="E921" s="4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2"/>
      <c r="B922" s="2"/>
      <c r="C922" s="3"/>
      <c r="D922" s="4"/>
      <c r="E922" s="4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2"/>
      <c r="B923" s="2"/>
      <c r="C923" s="3"/>
      <c r="D923" s="4"/>
      <c r="E923" s="4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2"/>
      <c r="B924" s="2"/>
      <c r="C924" s="3"/>
      <c r="D924" s="4"/>
      <c r="E924" s="4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2"/>
      <c r="B925" s="2"/>
      <c r="C925" s="3"/>
      <c r="D925" s="4"/>
      <c r="E925" s="4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2"/>
      <c r="B926" s="2"/>
      <c r="C926" s="3"/>
      <c r="D926" s="4"/>
      <c r="E926" s="4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2"/>
      <c r="B927" s="2"/>
      <c r="C927" s="3"/>
      <c r="D927" s="4"/>
      <c r="E927" s="4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2"/>
      <c r="B928" s="2"/>
      <c r="C928" s="3"/>
      <c r="D928" s="4"/>
      <c r="E928" s="4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2"/>
      <c r="B929" s="2"/>
      <c r="C929" s="3"/>
      <c r="D929" s="4"/>
      <c r="E929" s="4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2"/>
      <c r="B930" s="2"/>
      <c r="C930" s="3"/>
      <c r="D930" s="4"/>
      <c r="E930" s="4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2"/>
      <c r="B931" s="2"/>
      <c r="C931" s="3"/>
      <c r="D931" s="4"/>
      <c r="E931" s="4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2"/>
      <c r="B932" s="2"/>
      <c r="C932" s="3"/>
      <c r="D932" s="4"/>
      <c r="E932" s="4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2"/>
      <c r="B933" s="2"/>
      <c r="C933" s="3"/>
      <c r="D933" s="4"/>
      <c r="E933" s="4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2"/>
      <c r="B934" s="2"/>
      <c r="C934" s="3"/>
      <c r="D934" s="4"/>
      <c r="E934" s="4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2"/>
      <c r="B935" s="2"/>
      <c r="C935" s="3"/>
      <c r="D935" s="4"/>
      <c r="E935" s="4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2"/>
      <c r="B936" s="2"/>
      <c r="C936" s="3"/>
      <c r="D936" s="4"/>
      <c r="E936" s="4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2"/>
      <c r="B937" s="2"/>
      <c r="C937" s="3"/>
      <c r="D937" s="4"/>
      <c r="E937" s="4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2"/>
      <c r="B938" s="2"/>
      <c r="C938" s="3"/>
      <c r="D938" s="4"/>
      <c r="E938" s="4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2"/>
      <c r="B939" s="2"/>
      <c r="C939" s="3"/>
      <c r="D939" s="4"/>
      <c r="E939" s="4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2"/>
      <c r="B940" s="2"/>
      <c r="C940" s="3"/>
      <c r="D940" s="4"/>
      <c r="E940" s="4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2"/>
      <c r="B941" s="2"/>
      <c r="C941" s="3"/>
      <c r="D941" s="4"/>
      <c r="E941" s="4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2"/>
      <c r="B942" s="2"/>
      <c r="C942" s="3"/>
      <c r="D942" s="4"/>
      <c r="E942" s="4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2"/>
      <c r="B943" s="2"/>
      <c r="C943" s="3"/>
      <c r="D943" s="4"/>
      <c r="E943" s="4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2"/>
      <c r="B944" s="2"/>
      <c r="C944" s="3"/>
      <c r="D944" s="4"/>
      <c r="E944" s="4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2"/>
      <c r="B945" s="2"/>
      <c r="C945" s="3"/>
      <c r="D945" s="4"/>
      <c r="E945" s="4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2"/>
      <c r="B946" s="2"/>
      <c r="C946" s="3"/>
      <c r="D946" s="4"/>
      <c r="E946" s="4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2"/>
      <c r="B947" s="2"/>
      <c r="C947" s="3"/>
      <c r="D947" s="4"/>
      <c r="E947" s="4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2"/>
      <c r="B948" s="2"/>
      <c r="C948" s="3"/>
      <c r="D948" s="4"/>
      <c r="E948" s="4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2"/>
      <c r="B949" s="2"/>
      <c r="C949" s="3"/>
      <c r="D949" s="4"/>
      <c r="E949" s="4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2"/>
      <c r="B950" s="2"/>
      <c r="C950" s="3"/>
      <c r="D950" s="4"/>
      <c r="E950" s="4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2"/>
      <c r="B951" s="2"/>
      <c r="C951" s="3"/>
      <c r="D951" s="4"/>
      <c r="E951" s="4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2"/>
      <c r="B952" s="2"/>
      <c r="C952" s="3"/>
      <c r="D952" s="4"/>
      <c r="E952" s="4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2"/>
      <c r="B953" s="2"/>
      <c r="C953" s="3"/>
      <c r="D953" s="4"/>
      <c r="E953" s="4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2"/>
      <c r="B954" s="2"/>
      <c r="C954" s="3"/>
      <c r="D954" s="4"/>
      <c r="E954" s="4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2"/>
      <c r="B955" s="2"/>
      <c r="C955" s="3"/>
      <c r="D955" s="4"/>
      <c r="E955" s="4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2"/>
      <c r="B956" s="2"/>
      <c r="C956" s="3"/>
      <c r="D956" s="4"/>
      <c r="E956" s="4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2"/>
      <c r="B957" s="2"/>
      <c r="C957" s="3"/>
      <c r="D957" s="4"/>
      <c r="E957" s="4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2"/>
      <c r="B958" s="2"/>
      <c r="C958" s="3"/>
      <c r="D958" s="4"/>
      <c r="E958" s="4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2"/>
      <c r="B959" s="2"/>
      <c r="C959" s="3"/>
      <c r="D959" s="4"/>
      <c r="E959" s="4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2"/>
      <c r="B960" s="2"/>
      <c r="C960" s="3"/>
      <c r="D960" s="4"/>
      <c r="E960" s="4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2"/>
      <c r="B961" s="2"/>
      <c r="C961" s="3"/>
      <c r="D961" s="4"/>
      <c r="E961" s="4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2"/>
      <c r="B962" s="2"/>
      <c r="C962" s="3"/>
      <c r="D962" s="4"/>
      <c r="E962" s="4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2"/>
      <c r="B963" s="2"/>
      <c r="C963" s="3"/>
      <c r="D963" s="4"/>
      <c r="E963" s="4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2"/>
      <c r="B964" s="2"/>
      <c r="C964" s="3"/>
      <c r="D964" s="4"/>
      <c r="E964" s="4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2"/>
      <c r="B965" s="2"/>
      <c r="C965" s="3"/>
      <c r="D965" s="4"/>
      <c r="E965" s="4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2"/>
      <c r="B966" s="2"/>
      <c r="C966" s="3"/>
      <c r="D966" s="4"/>
      <c r="E966" s="4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2"/>
      <c r="B967" s="2"/>
      <c r="C967" s="3"/>
      <c r="D967" s="4"/>
      <c r="E967" s="4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2"/>
      <c r="B968" s="2"/>
      <c r="C968" s="3"/>
      <c r="D968" s="4"/>
      <c r="E968" s="4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2"/>
      <c r="B969" s="2"/>
      <c r="C969" s="3"/>
      <c r="D969" s="4"/>
      <c r="E969" s="4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2"/>
      <c r="B970" s="2"/>
      <c r="C970" s="3"/>
      <c r="D970" s="4"/>
      <c r="E970" s="4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2"/>
      <c r="B971" s="2"/>
      <c r="C971" s="3"/>
      <c r="D971" s="4"/>
      <c r="E971" s="4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2"/>
      <c r="B972" s="2"/>
      <c r="C972" s="3"/>
      <c r="D972" s="4"/>
      <c r="E972" s="4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2"/>
      <c r="B973" s="2"/>
      <c r="C973" s="3"/>
      <c r="D973" s="4"/>
      <c r="E973" s="4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2"/>
      <c r="B974" s="2"/>
      <c r="C974" s="3"/>
      <c r="D974" s="4"/>
      <c r="E974" s="4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2"/>
      <c r="B975" s="2"/>
      <c r="C975" s="3"/>
      <c r="D975" s="4"/>
      <c r="E975" s="4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2"/>
      <c r="B976" s="2"/>
      <c r="C976" s="3"/>
      <c r="D976" s="4"/>
      <c r="E976" s="4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2"/>
      <c r="B977" s="2"/>
      <c r="C977" s="3"/>
      <c r="D977" s="4"/>
      <c r="E977" s="4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2"/>
      <c r="B978" s="2"/>
      <c r="C978" s="3"/>
      <c r="D978" s="4"/>
      <c r="E978" s="4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2"/>
      <c r="B979" s="2"/>
      <c r="C979" s="3"/>
      <c r="D979" s="4"/>
      <c r="E979" s="4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2"/>
      <c r="B980" s="2"/>
      <c r="C980" s="3"/>
      <c r="D980" s="4"/>
      <c r="E980" s="4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2"/>
      <c r="B981" s="2"/>
      <c r="C981" s="3"/>
      <c r="D981" s="4"/>
      <c r="E981" s="4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2"/>
      <c r="B982" s="2"/>
      <c r="C982" s="3"/>
      <c r="D982" s="4"/>
      <c r="E982" s="4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2"/>
      <c r="B983" s="2"/>
      <c r="C983" s="3"/>
      <c r="D983" s="4"/>
      <c r="E983" s="4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2"/>
      <c r="B984" s="2"/>
      <c r="C984" s="3"/>
      <c r="D984" s="4"/>
      <c r="E984" s="4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2"/>
      <c r="B985" s="2"/>
      <c r="C985" s="3"/>
      <c r="D985" s="4"/>
      <c r="E985" s="4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2"/>
      <c r="B986" s="2"/>
      <c r="C986" s="3"/>
      <c r="D986" s="4"/>
      <c r="E986" s="4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2"/>
      <c r="B987" s="2"/>
      <c r="C987" s="3"/>
      <c r="D987" s="4"/>
      <c r="E987" s="4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2"/>
      <c r="B988" s="2"/>
      <c r="C988" s="3"/>
      <c r="D988" s="4"/>
      <c r="E988" s="4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2"/>
      <c r="B989" s="2"/>
      <c r="C989" s="3"/>
      <c r="D989" s="4"/>
      <c r="E989" s="4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2"/>
      <c r="B990" s="2"/>
      <c r="C990" s="3"/>
      <c r="D990" s="4"/>
      <c r="E990" s="4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2"/>
      <c r="B991" s="2"/>
      <c r="C991" s="3"/>
      <c r="D991" s="4"/>
      <c r="E991" s="4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2"/>
      <c r="B992" s="2"/>
      <c r="C992" s="3"/>
      <c r="D992" s="4"/>
      <c r="E992" s="4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2"/>
      <c r="B993" s="2"/>
      <c r="C993" s="3"/>
      <c r="D993" s="4"/>
      <c r="E993" s="4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2"/>
      <c r="B994" s="2"/>
      <c r="C994" s="3"/>
      <c r="D994" s="4"/>
      <c r="E994" s="4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2"/>
      <c r="B995" s="2"/>
      <c r="C995" s="3"/>
      <c r="D995" s="4"/>
      <c r="E995" s="4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2"/>
      <c r="B996" s="2"/>
      <c r="C996" s="3"/>
      <c r="D996" s="4"/>
      <c r="E996" s="4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2"/>
      <c r="B997" s="2"/>
      <c r="C997" s="3"/>
      <c r="D997" s="4"/>
      <c r="E997" s="4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2"/>
      <c r="B998" s="2"/>
      <c r="C998" s="3"/>
      <c r="D998" s="4"/>
      <c r="E998" s="4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2"/>
      <c r="B999" s="2"/>
      <c r="C999" s="3"/>
      <c r="D999" s="4"/>
      <c r="E999" s="4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2"/>
      <c r="B1000" s="2"/>
      <c r="C1000" s="3"/>
      <c r="D1000" s="4"/>
      <c r="E1000" s="4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</sheetData>
  <mergeCells count="4">
    <mergeCell ref="K4:L4"/>
    <mergeCell ref="N4:O4"/>
    <mergeCell ref="I6:I7"/>
    <mergeCell ref="E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7.88"/>
    <col customWidth="1" min="11" max="11" width="6.25"/>
    <col customWidth="1" min="12" max="12" width="19.88"/>
    <col customWidth="1" min="13" max="13" width="38.25"/>
    <col customWidth="1" min="15" max="24" width="6.63"/>
  </cols>
  <sheetData>
    <row r="1">
      <c r="A1" s="21" t="s">
        <v>19</v>
      </c>
      <c r="B1" s="21" t="s">
        <v>20</v>
      </c>
      <c r="C1" s="21" t="s">
        <v>21</v>
      </c>
      <c r="D1" s="21" t="s">
        <v>22</v>
      </c>
      <c r="E1" s="21" t="s">
        <v>23</v>
      </c>
      <c r="F1" s="21" t="s">
        <v>24</v>
      </c>
      <c r="G1" s="21" t="s">
        <v>25</v>
      </c>
      <c r="H1" s="21" t="s">
        <v>26</v>
      </c>
      <c r="I1" s="21" t="s">
        <v>27</v>
      </c>
      <c r="J1" s="21" t="s">
        <v>28</v>
      </c>
      <c r="K1" s="22"/>
      <c r="L1" s="23"/>
      <c r="N1" s="24" t="s">
        <v>29</v>
      </c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25">
        <v>40.6835775985572</v>
      </c>
      <c r="B2" s="25">
        <v>6.04519895718254</v>
      </c>
      <c r="C2" s="25">
        <v>1643.18322679759</v>
      </c>
      <c r="D2" s="25">
        <v>0.863391902231801</v>
      </c>
      <c r="E2" s="25">
        <v>0.547485741334239</v>
      </c>
      <c r="F2" s="25">
        <v>0.213051802033859</v>
      </c>
      <c r="G2" s="25">
        <v>3.33821353523161</v>
      </c>
      <c r="H2" s="25">
        <v>18.4097333391848</v>
      </c>
      <c r="I2" s="25">
        <v>50.4897511388075</v>
      </c>
      <c r="J2" s="25">
        <v>38.852635585331</v>
      </c>
      <c r="L2" s="26"/>
      <c r="O2" s="27"/>
      <c r="P2" s="27"/>
      <c r="Q2" s="27"/>
      <c r="R2" s="27"/>
      <c r="S2" s="27"/>
      <c r="T2" s="27"/>
      <c r="U2" s="27"/>
      <c r="V2" s="27"/>
      <c r="W2" s="27"/>
      <c r="X2" s="27"/>
    </row>
    <row r="3">
      <c r="A3" s="25">
        <v>100.099745579609</v>
      </c>
      <c r="B3" s="25">
        <v>4.29863279125518</v>
      </c>
      <c r="C3" s="25">
        <v>219.955538941633</v>
      </c>
      <c r="D3" s="25">
        <v>0.0832749382079525</v>
      </c>
      <c r="E3" s="25">
        <v>0.0610021875535617</v>
      </c>
      <c r="F3" s="25">
        <v>0.234667076742628</v>
      </c>
      <c r="G3" s="25">
        <v>7.64818136042164</v>
      </c>
      <c r="H3" s="25">
        <v>3.60747256644143</v>
      </c>
      <c r="I3" s="25">
        <v>4.91292836531963</v>
      </c>
      <c r="J3" s="25">
        <v>71.4250336293834</v>
      </c>
      <c r="L3" s="28"/>
      <c r="M3" s="29"/>
      <c r="O3" s="27"/>
      <c r="P3" s="27"/>
      <c r="Q3" s="27"/>
      <c r="R3" s="27"/>
      <c r="S3" s="27"/>
      <c r="T3" s="27"/>
      <c r="U3" s="27"/>
      <c r="V3" s="27"/>
      <c r="W3" s="27"/>
      <c r="X3" s="27"/>
    </row>
    <row r="4">
      <c r="A4" s="25">
        <v>51.2215619701263</v>
      </c>
      <c r="B4" s="25">
        <v>13.0973957816534</v>
      </c>
      <c r="C4" s="25">
        <v>520.157508511496</v>
      </c>
      <c r="D4" s="25">
        <v>0.125788296356687</v>
      </c>
      <c r="E4" s="25">
        <v>0.163345557459331</v>
      </c>
      <c r="F4" s="25">
        <v>0.679233053438121</v>
      </c>
      <c r="G4" s="25">
        <v>8.66572914221934</v>
      </c>
      <c r="H4" s="25">
        <v>21.8731702671466</v>
      </c>
      <c r="I4" s="25">
        <v>55.7306952842191</v>
      </c>
      <c r="J4" s="25">
        <v>29.5833225075674</v>
      </c>
      <c r="L4" s="26"/>
      <c r="M4" s="29"/>
      <c r="O4" s="27"/>
      <c r="P4" s="27"/>
      <c r="Q4" s="27"/>
      <c r="R4" s="27"/>
      <c r="S4" s="27"/>
      <c r="T4" s="27"/>
      <c r="U4" s="27"/>
      <c r="V4" s="27"/>
      <c r="W4" s="27"/>
      <c r="X4" s="27"/>
    </row>
    <row r="5">
      <c r="A5" s="25">
        <v>1.0</v>
      </c>
      <c r="B5" s="25">
        <v>6.92683707599713</v>
      </c>
      <c r="C5" s="25">
        <v>836.857962151709</v>
      </c>
      <c r="D5" s="25">
        <v>0.0876108409017575</v>
      </c>
      <c r="E5" s="25">
        <v>0.181620565196581</v>
      </c>
      <c r="F5" s="25">
        <v>0.606985862203936</v>
      </c>
      <c r="G5" s="25">
        <v>7.33993326995452</v>
      </c>
      <c r="H5" s="25">
        <v>18.6537028864304</v>
      </c>
      <c r="I5" s="25">
        <v>79.4127328906611</v>
      </c>
      <c r="J5" s="25">
        <v>19.9489649417439</v>
      </c>
      <c r="L5" s="29"/>
      <c r="M5" s="29"/>
      <c r="O5" s="27"/>
      <c r="P5" s="27"/>
      <c r="Q5" s="27"/>
      <c r="R5" s="27"/>
      <c r="S5" s="27"/>
      <c r="T5" s="27"/>
      <c r="U5" s="27"/>
      <c r="V5" s="27"/>
      <c r="W5" s="27"/>
      <c r="X5" s="27"/>
    </row>
    <row r="6">
      <c r="A6" s="25">
        <v>15.8158187607747</v>
      </c>
      <c r="B6" s="25">
        <v>20.0409322440783</v>
      </c>
      <c r="C6" s="25">
        <v>3214.79307916163</v>
      </c>
      <c r="D6" s="25">
        <v>0.223105173713163</v>
      </c>
      <c r="E6" s="25">
        <v>0.159952984778673</v>
      </c>
      <c r="F6" s="25">
        <v>0.0699891561420602</v>
      </c>
      <c r="G6" s="25">
        <v>2.06980208499001</v>
      </c>
      <c r="H6" s="25">
        <v>23.0734320156912</v>
      </c>
      <c r="I6" s="25">
        <v>86.1351734525124</v>
      </c>
      <c r="J6" s="25">
        <v>40.2970453961683</v>
      </c>
      <c r="L6" s="26"/>
      <c r="M6" s="29"/>
      <c r="O6" s="27"/>
      <c r="P6" s="27"/>
      <c r="Q6" s="27"/>
      <c r="R6" s="27"/>
      <c r="S6" s="27"/>
      <c r="T6" s="27"/>
      <c r="U6" s="27"/>
      <c r="V6" s="27"/>
      <c r="W6" s="27"/>
      <c r="X6" s="27"/>
    </row>
    <row r="7">
      <c r="A7" s="25">
        <v>17.9300840807267</v>
      </c>
      <c r="B7" s="25">
        <v>15.0487380046926</v>
      </c>
      <c r="C7" s="25">
        <v>5706.42669972501</v>
      </c>
      <c r="D7" s="25">
        <v>0.102395610023874</v>
      </c>
      <c r="E7" s="25">
        <v>0.14241074524822</v>
      </c>
      <c r="F7" s="25">
        <v>0.129415860324228</v>
      </c>
      <c r="G7" s="25">
        <v>2.28099186773503</v>
      </c>
      <c r="H7" s="25">
        <v>21.886502400897</v>
      </c>
      <c r="I7" s="25">
        <v>82.9187774964272</v>
      </c>
      <c r="J7" s="25">
        <v>31.0559925227293</v>
      </c>
      <c r="L7" s="26"/>
      <c r="M7" s="29"/>
      <c r="O7" s="27"/>
      <c r="P7" s="27"/>
      <c r="Q7" s="27"/>
      <c r="R7" s="27"/>
      <c r="S7" s="27"/>
      <c r="T7" s="27"/>
      <c r="U7" s="27"/>
      <c r="V7" s="27"/>
      <c r="W7" s="27"/>
      <c r="X7" s="27"/>
    </row>
    <row r="8">
      <c r="A8" s="25">
        <v>7.05317621527894</v>
      </c>
      <c r="B8" s="25">
        <v>23.3984083880841</v>
      </c>
      <c r="C8" s="25">
        <v>4285.61238877203</v>
      </c>
      <c r="D8" s="25">
        <v>0.165354520236967</v>
      </c>
      <c r="E8" s="25">
        <v>0.194979993771662</v>
      </c>
      <c r="F8" s="25">
        <v>0.11536497604383</v>
      </c>
      <c r="G8" s="25">
        <v>2.81286211883896</v>
      </c>
      <c r="H8" s="25">
        <v>28.148144209618</v>
      </c>
      <c r="I8" s="25">
        <v>76.7100498907792</v>
      </c>
      <c r="J8" s="25">
        <v>30.5185516784242</v>
      </c>
      <c r="L8" s="26"/>
      <c r="M8" s="29"/>
      <c r="O8" s="27"/>
      <c r="P8" s="27"/>
      <c r="Q8" s="27"/>
      <c r="R8" s="27"/>
      <c r="S8" s="27"/>
      <c r="T8" s="27"/>
      <c r="U8" s="27"/>
      <c r="V8" s="27"/>
      <c r="W8" s="27"/>
      <c r="X8" s="27"/>
    </row>
    <row r="9">
      <c r="A9" s="25">
        <v>104.945872102465</v>
      </c>
      <c r="B9" s="25">
        <v>3.91555539815019</v>
      </c>
      <c r="C9" s="25">
        <v>396.864760905377</v>
      </c>
      <c r="D9" s="25">
        <v>0.105866369165439</v>
      </c>
      <c r="E9" s="25">
        <v>0.131106595831537</v>
      </c>
      <c r="F9" s="25">
        <v>0.240842861116417</v>
      </c>
      <c r="G9" s="25">
        <v>5.82064607175505</v>
      </c>
      <c r="H9" s="25">
        <v>2.69671102134915</v>
      </c>
      <c r="I9" s="25">
        <v>13.2585503741822</v>
      </c>
      <c r="J9" s="25">
        <v>72.6914379639103</v>
      </c>
      <c r="L9" s="29"/>
      <c r="M9" s="29"/>
      <c r="O9" s="27"/>
      <c r="P9" s="27"/>
      <c r="Q9" s="27"/>
      <c r="R9" s="27"/>
      <c r="S9" s="27"/>
      <c r="T9" s="27"/>
      <c r="U9" s="27"/>
      <c r="V9" s="27"/>
      <c r="W9" s="27"/>
      <c r="X9" s="27"/>
    </row>
    <row r="10">
      <c r="A10" s="25">
        <v>38.2541634898803</v>
      </c>
      <c r="B10" s="25">
        <v>12.4405289080019</v>
      </c>
      <c r="C10" s="25">
        <v>1226.36970178858</v>
      </c>
      <c r="D10" s="25">
        <v>0.151050192081637</v>
      </c>
      <c r="E10" s="25">
        <v>0.134097648564748</v>
      </c>
      <c r="F10" s="25">
        <v>0.718973324340654</v>
      </c>
      <c r="G10" s="25">
        <v>8.48624952873266</v>
      </c>
      <c r="H10" s="25">
        <v>17.3492847281615</v>
      </c>
      <c r="I10" s="25">
        <v>65.9699596499271</v>
      </c>
      <c r="J10" s="25">
        <v>34.1660991780583</v>
      </c>
      <c r="L10" s="26"/>
      <c r="M10" s="29"/>
      <c r="O10" s="27"/>
      <c r="P10" s="27"/>
      <c r="Q10" s="27"/>
      <c r="R10" s="27"/>
      <c r="S10" s="27"/>
      <c r="T10" s="27"/>
      <c r="U10" s="27"/>
      <c r="V10" s="27"/>
      <c r="W10" s="27"/>
      <c r="X10" s="27"/>
    </row>
    <row r="11">
      <c r="A11" s="25">
        <v>21.8177931676652</v>
      </c>
      <c r="B11" s="25">
        <v>16.2771618270563</v>
      </c>
      <c r="C11" s="25">
        <v>648.495654625074</v>
      </c>
      <c r="D11" s="25">
        <v>0.0892905693606133</v>
      </c>
      <c r="E11" s="25">
        <v>0.157905543675003</v>
      </c>
      <c r="F11" s="25">
        <v>0.829166269396293</v>
      </c>
      <c r="G11" s="25">
        <v>8.93617972557823</v>
      </c>
      <c r="H11" s="25">
        <v>21.1417275463214</v>
      </c>
      <c r="I11" s="25">
        <v>64.8775322715308</v>
      </c>
      <c r="J11" s="25">
        <v>23.7192193995991</v>
      </c>
      <c r="L11" s="29"/>
      <c r="M11" s="29"/>
      <c r="O11" s="27"/>
      <c r="P11" s="27"/>
      <c r="Q11" s="27"/>
      <c r="R11" s="27"/>
      <c r="S11" s="27"/>
      <c r="T11" s="27"/>
      <c r="U11" s="27"/>
      <c r="V11" s="27"/>
      <c r="W11" s="27"/>
      <c r="X11" s="27"/>
    </row>
    <row r="12">
      <c r="A12" s="25">
        <v>10.3790227909686</v>
      </c>
      <c r="B12" s="25">
        <v>17.2913531539515</v>
      </c>
      <c r="C12" s="25">
        <v>4780.0957867342</v>
      </c>
      <c r="D12" s="25">
        <v>0.192647130924893</v>
      </c>
      <c r="E12" s="25">
        <v>0.108725140160374</v>
      </c>
      <c r="F12" s="25">
        <v>0.0839307079173503</v>
      </c>
      <c r="G12" s="25">
        <v>2.41293145427562</v>
      </c>
      <c r="H12" s="25">
        <v>22.1813772359801</v>
      </c>
      <c r="I12" s="25">
        <v>76.7777960443356</v>
      </c>
      <c r="J12" s="25">
        <v>36.9494976919353</v>
      </c>
      <c r="L12" s="26"/>
      <c r="M12" s="29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>
      <c r="A13" s="25">
        <v>94.8993314221744</v>
      </c>
      <c r="B13" s="25">
        <v>2.2395852369433</v>
      </c>
      <c r="C13" s="25">
        <v>329.344254157251</v>
      </c>
      <c r="D13" s="25">
        <v>0.111602496867881</v>
      </c>
      <c r="E13" s="25">
        <v>0.022076626340107</v>
      </c>
      <c r="F13" s="25">
        <v>0.159253622562344</v>
      </c>
      <c r="G13" s="25">
        <v>3.92233366812134</v>
      </c>
      <c r="H13" s="25">
        <v>2.67982927243222</v>
      </c>
      <c r="I13" s="25">
        <v>17.487260524784</v>
      </c>
      <c r="J13" s="25">
        <v>75.3274935186468</v>
      </c>
      <c r="L13" s="29"/>
      <c r="M13" s="29"/>
      <c r="O13" s="27"/>
      <c r="P13" s="27"/>
      <c r="Q13" s="27"/>
      <c r="R13" s="27"/>
      <c r="S13" s="27"/>
      <c r="T13" s="27"/>
      <c r="U13" s="27"/>
      <c r="V13" s="27"/>
      <c r="W13" s="27"/>
      <c r="X13" s="27"/>
    </row>
    <row r="14">
      <c r="A14" s="25">
        <v>107.15319246404</v>
      </c>
      <c r="B14" s="25">
        <v>2.76009220505485</v>
      </c>
      <c r="C14" s="25">
        <v>397.147568814596</v>
      </c>
      <c r="D14" s="25">
        <v>0.0498735317681095</v>
      </c>
      <c r="E14" s="25">
        <v>0.0792594745603044</v>
      </c>
      <c r="F14" s="25">
        <v>0.271134136107986</v>
      </c>
      <c r="G14" s="25">
        <v>5.48407784050713</v>
      </c>
      <c r="H14" s="25">
        <v>1.75915358467151</v>
      </c>
      <c r="I14" s="25">
        <v>19.1547721139293</v>
      </c>
      <c r="J14" s="25">
        <v>75.729172391018</v>
      </c>
      <c r="L14" s="26"/>
      <c r="M14" s="29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>
      <c r="A15" s="25">
        <v>9.45619925771571</v>
      </c>
      <c r="B15" s="25">
        <v>21.6068468883957</v>
      </c>
      <c r="C15" s="25">
        <v>4552.11519336889</v>
      </c>
      <c r="D15" s="25">
        <v>0.179938976405708</v>
      </c>
      <c r="E15" s="25">
        <v>0.16120462409052</v>
      </c>
      <c r="F15" s="25">
        <v>0.100629620039089</v>
      </c>
      <c r="G15" s="25">
        <v>2.09767609854883</v>
      </c>
      <c r="H15" s="25">
        <v>21.1349510807226</v>
      </c>
      <c r="I15" s="25">
        <v>85.2451017425894</v>
      </c>
      <c r="J15" s="25">
        <v>38.9839863299636</v>
      </c>
      <c r="L15" s="29"/>
      <c r="M15" s="29"/>
      <c r="O15" s="27"/>
      <c r="P15" s="27"/>
      <c r="Q15" s="27"/>
      <c r="R15" s="27"/>
      <c r="S15" s="27"/>
      <c r="T15" s="27"/>
      <c r="U15" s="27"/>
      <c r="V15" s="27"/>
      <c r="W15" s="27"/>
      <c r="X15" s="27"/>
    </row>
    <row r="16">
      <c r="A16" s="25">
        <v>17.2557180389752</v>
      </c>
      <c r="B16" s="25">
        <v>23.8370833043408</v>
      </c>
      <c r="C16" s="25">
        <v>5722.54596600924</v>
      </c>
      <c r="D16" s="25">
        <v>0.161632621855597</v>
      </c>
      <c r="E16" s="25">
        <v>0.193616031836033</v>
      </c>
      <c r="F16" s="25">
        <v>0.109167100286917</v>
      </c>
      <c r="G16" s="25">
        <v>4.18980293321767</v>
      </c>
      <c r="H16" s="25">
        <v>20.9585085732242</v>
      </c>
      <c r="I16" s="25">
        <v>76.6027815781922</v>
      </c>
      <c r="J16" s="25">
        <v>30.2048588364478</v>
      </c>
      <c r="L16" s="26"/>
      <c r="M16" s="29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>
      <c r="A17" s="25">
        <v>1.0</v>
      </c>
      <c r="B17" s="25">
        <v>17.8969799132769</v>
      </c>
      <c r="C17" s="25">
        <v>3392.69387075704</v>
      </c>
      <c r="D17" s="25">
        <v>0.20751968932381</v>
      </c>
      <c r="E17" s="25">
        <v>0.167087798788857</v>
      </c>
      <c r="F17" s="25">
        <v>0.193808541960794</v>
      </c>
      <c r="G17" s="25">
        <v>2.95042383818605</v>
      </c>
      <c r="H17" s="25">
        <v>22.1154817216879</v>
      </c>
      <c r="I17" s="25">
        <v>76.0158532865164</v>
      </c>
      <c r="J17" s="25">
        <v>38.935353372052</v>
      </c>
      <c r="L17" s="26"/>
      <c r="M17" s="29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>
      <c r="A18" s="25">
        <v>20.1965018946903</v>
      </c>
      <c r="B18" s="25">
        <v>13.494376297563</v>
      </c>
      <c r="C18" s="25">
        <v>1353.83203621638</v>
      </c>
      <c r="D18" s="25">
        <v>0.753082434789529</v>
      </c>
      <c r="E18" s="25">
        <v>0.578686547090912</v>
      </c>
      <c r="F18" s="25">
        <v>0.294771066191578</v>
      </c>
      <c r="G18" s="25">
        <v>3.88546015474738</v>
      </c>
      <c r="H18" s="25">
        <v>19.9512652478938</v>
      </c>
      <c r="I18" s="25">
        <v>40.8668680944675</v>
      </c>
      <c r="J18" s="25">
        <v>34.0062497704622</v>
      </c>
      <c r="L18" s="26"/>
      <c r="M18" s="29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>
      <c r="A19" s="25">
        <v>30.0524369971818</v>
      </c>
      <c r="B19" s="25">
        <v>10.1409417812942</v>
      </c>
      <c r="C19" s="25">
        <v>787.483632130189</v>
      </c>
      <c r="D19" s="25">
        <v>0.181142496617374</v>
      </c>
      <c r="E19" s="25">
        <v>0.0466189785308702</v>
      </c>
      <c r="F19" s="25">
        <v>0.73576205149787</v>
      </c>
      <c r="G19" s="25">
        <v>8.18044344756784</v>
      </c>
      <c r="H19" s="25">
        <v>20.5721941702937</v>
      </c>
      <c r="I19" s="25">
        <v>72.1161487808888</v>
      </c>
      <c r="J19" s="25">
        <v>22.1275053571349</v>
      </c>
      <c r="L19" s="26"/>
      <c r="O19" s="27"/>
      <c r="P19" s="27"/>
      <c r="Q19" s="27"/>
      <c r="R19" s="27"/>
      <c r="S19" s="27"/>
      <c r="T19" s="27"/>
      <c r="U19" s="27"/>
      <c r="V19" s="27"/>
      <c r="W19" s="27"/>
      <c r="X19" s="27"/>
    </row>
    <row r="20">
      <c r="A20" s="25">
        <v>16.9882874389656</v>
      </c>
      <c r="B20" s="25">
        <v>11.8330304656955</v>
      </c>
      <c r="C20" s="25">
        <v>1099.69420359387</v>
      </c>
      <c r="D20" s="25">
        <v>0.725151346344344</v>
      </c>
      <c r="E20" s="25">
        <v>0.905115197552252</v>
      </c>
      <c r="F20" s="25">
        <v>0.2080972244005</v>
      </c>
      <c r="G20" s="25">
        <v>5.17929718406382</v>
      </c>
      <c r="H20" s="25">
        <v>15.2700739256404</v>
      </c>
      <c r="I20" s="25">
        <v>84.7289750985838</v>
      </c>
      <c r="J20" s="25">
        <v>57.553408424432</v>
      </c>
      <c r="L20" s="29"/>
      <c r="M20" s="30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>
      <c r="A21" s="25">
        <v>36.2655377728139</v>
      </c>
      <c r="B21" s="25">
        <v>10.914712852863</v>
      </c>
      <c r="C21" s="25">
        <v>1193.61278487554</v>
      </c>
      <c r="D21" s="25">
        <v>0.936863155753235</v>
      </c>
      <c r="E21" s="25">
        <v>0.653507653941989</v>
      </c>
      <c r="F21" s="25">
        <v>0.24802360219989</v>
      </c>
      <c r="G21" s="25">
        <v>5.05842448684958</v>
      </c>
      <c r="H21" s="25">
        <v>7.96504205430754</v>
      </c>
      <c r="I21" s="25">
        <v>45.8008978480107</v>
      </c>
      <c r="J21" s="25">
        <v>19.6076782223989</v>
      </c>
      <c r="L21" s="29"/>
      <c r="M21" s="30"/>
      <c r="O21" s="27"/>
      <c r="P21" s="27"/>
      <c r="Q21" s="27"/>
      <c r="R21" s="27"/>
      <c r="S21" s="27"/>
      <c r="T21" s="27"/>
      <c r="U21" s="27"/>
      <c r="V21" s="27"/>
      <c r="W21" s="27"/>
      <c r="X21" s="27"/>
    </row>
    <row r="22">
      <c r="A22" s="25">
        <v>27.3059316555544</v>
      </c>
      <c r="B22" s="25">
        <v>12.1526267673878</v>
      </c>
      <c r="C22" s="25">
        <v>1275.589263024</v>
      </c>
      <c r="D22" s="25">
        <v>0.153704739020988</v>
      </c>
      <c r="E22" s="25">
        <v>0.181430777278564</v>
      </c>
      <c r="F22" s="25">
        <v>0.61198985417851</v>
      </c>
      <c r="G22" s="25">
        <v>5.44492634096726</v>
      </c>
      <c r="H22" s="25">
        <v>17.7222615055169</v>
      </c>
      <c r="I22" s="25">
        <v>68.840654489393</v>
      </c>
      <c r="J22" s="25">
        <v>29.7711367633413</v>
      </c>
      <c r="L22" s="29"/>
      <c r="M22" s="30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>
      <c r="A23" s="25">
        <v>1.0</v>
      </c>
      <c r="B23" s="25">
        <v>19.6435198419488</v>
      </c>
      <c r="C23" s="25">
        <v>2956.42439959611</v>
      </c>
      <c r="D23" s="25">
        <v>0.233483627441501</v>
      </c>
      <c r="E23" s="25">
        <v>0.168329912304842</v>
      </c>
      <c r="F23" s="25">
        <v>0.0530060106836322</v>
      </c>
      <c r="G23" s="25">
        <v>1.4861330826633</v>
      </c>
      <c r="H23" s="25">
        <v>19.7039323905552</v>
      </c>
      <c r="I23" s="25">
        <v>84.3732090272682</v>
      </c>
      <c r="J23" s="25">
        <v>42.6411385640099</v>
      </c>
      <c r="L23" s="29"/>
      <c r="M23" s="30"/>
      <c r="O23" s="27"/>
      <c r="P23" s="27"/>
      <c r="Q23" s="27"/>
      <c r="R23" s="27"/>
      <c r="S23" s="27"/>
      <c r="T23" s="27"/>
      <c r="U23" s="27"/>
      <c r="V23" s="27"/>
      <c r="W23" s="27"/>
      <c r="X23" s="27"/>
    </row>
    <row r="24">
      <c r="A24" s="25">
        <v>25.2141093049668</v>
      </c>
      <c r="B24" s="25">
        <v>9.51213954655353</v>
      </c>
      <c r="C24" s="25">
        <v>840.922714488267</v>
      </c>
      <c r="D24" s="25">
        <v>0.720712716773765</v>
      </c>
      <c r="E24" s="25">
        <v>0.739296964004544</v>
      </c>
      <c r="F24" s="25">
        <v>0.127533037430643</v>
      </c>
      <c r="G24" s="25">
        <v>3.44635069465281</v>
      </c>
      <c r="H24" s="25">
        <v>10.2084884296446</v>
      </c>
      <c r="I24" s="25">
        <v>83.5767015949966</v>
      </c>
      <c r="J24" s="25">
        <v>40.3526355197172</v>
      </c>
      <c r="L24" s="29"/>
      <c r="M24" s="30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>
      <c r="A25" s="25">
        <v>29.5041173801112</v>
      </c>
      <c r="B25" s="25">
        <v>8.64193973220266</v>
      </c>
      <c r="C25" s="25">
        <v>966.301585092751</v>
      </c>
      <c r="D25" s="25">
        <v>0.777903040046677</v>
      </c>
      <c r="E25" s="25">
        <v>0.811416670004342</v>
      </c>
      <c r="F25" s="25">
        <v>0.253025539703311</v>
      </c>
      <c r="G25" s="25">
        <v>3.46949885238947</v>
      </c>
      <c r="H25" s="25">
        <v>12.6967270374212</v>
      </c>
      <c r="I25" s="25">
        <v>56.6993796341802</v>
      </c>
      <c r="J25" s="25">
        <v>18.0</v>
      </c>
      <c r="L25" s="29"/>
      <c r="M25" s="30"/>
      <c r="O25" s="27"/>
      <c r="P25" s="27"/>
      <c r="Q25" s="27"/>
      <c r="R25" s="27"/>
      <c r="S25" s="27"/>
      <c r="T25" s="27"/>
      <c r="U25" s="27"/>
      <c r="V25" s="27"/>
      <c r="W25" s="27"/>
      <c r="X25" s="27"/>
    </row>
    <row r="26">
      <c r="A26" s="25">
        <v>17.2721340670217</v>
      </c>
      <c r="B26" s="25">
        <v>12.1006228023335</v>
      </c>
      <c r="C26" s="25">
        <v>1493.49031405038</v>
      </c>
      <c r="D26" s="25">
        <v>0.775096396044362</v>
      </c>
      <c r="E26" s="25">
        <v>0.807655696305576</v>
      </c>
      <c r="F26" s="25">
        <v>0.221787510818047</v>
      </c>
      <c r="G26" s="25">
        <v>7.07888080845523</v>
      </c>
      <c r="H26" s="25">
        <v>19.4782996457383</v>
      </c>
      <c r="I26" s="25">
        <v>58.4649889022308</v>
      </c>
      <c r="J26" s="25">
        <v>30.4445955939957</v>
      </c>
      <c r="L26" s="29"/>
      <c r="M26" s="30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>
      <c r="A27" s="25">
        <v>57.8710735948485</v>
      </c>
      <c r="B27" s="25">
        <v>3.30519545380083</v>
      </c>
      <c r="C27" s="25">
        <v>286.547388207354</v>
      </c>
      <c r="D27" s="25">
        <v>0.0288873145201162</v>
      </c>
      <c r="E27" s="25">
        <v>0.0541370846302989</v>
      </c>
      <c r="F27" s="25">
        <v>0.19184519963856</v>
      </c>
      <c r="G27" s="25">
        <v>7.53071245260884</v>
      </c>
      <c r="H27" s="25">
        <v>4.32245963542417</v>
      </c>
      <c r="I27" s="25">
        <v>14.936218869467</v>
      </c>
      <c r="J27" s="25">
        <v>75.3596089722301</v>
      </c>
      <c r="L27" s="29"/>
      <c r="M27" s="30"/>
      <c r="O27" s="27"/>
      <c r="P27" s="27"/>
      <c r="Q27" s="27"/>
      <c r="R27" s="27"/>
      <c r="S27" s="27"/>
      <c r="T27" s="27"/>
      <c r="U27" s="27"/>
      <c r="V27" s="27"/>
      <c r="W27" s="27"/>
      <c r="X27" s="27"/>
    </row>
    <row r="28">
      <c r="A28" s="25">
        <v>10.386841538238</v>
      </c>
      <c r="B28" s="25">
        <v>16.5548631946869</v>
      </c>
      <c r="C28" s="25">
        <v>5218.49926181572</v>
      </c>
      <c r="D28" s="25">
        <v>0.226945502184232</v>
      </c>
      <c r="E28" s="25">
        <v>0.0981376922836771</v>
      </c>
      <c r="F28" s="25">
        <v>0.0904830660958196</v>
      </c>
      <c r="G28" s="25">
        <v>1.12438174661524</v>
      </c>
      <c r="H28" s="25">
        <v>18.0860013451783</v>
      </c>
      <c r="I28" s="25">
        <v>94.2617754753164</v>
      </c>
      <c r="J28" s="25">
        <v>50.275333123761</v>
      </c>
      <c r="L28" s="29"/>
      <c r="M28" s="30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>
      <c r="A29" s="25">
        <v>16.0143242618085</v>
      </c>
      <c r="B29" s="25">
        <v>11.6889077100717</v>
      </c>
      <c r="C29" s="25">
        <v>737.339357719543</v>
      </c>
      <c r="D29" s="25">
        <v>0.125643730811765</v>
      </c>
      <c r="E29" s="25">
        <v>0.0703803037880565</v>
      </c>
      <c r="F29" s="25">
        <v>0.663600923032018</v>
      </c>
      <c r="G29" s="25">
        <v>8.07278244191724</v>
      </c>
      <c r="H29" s="25">
        <v>13.8452494179448</v>
      </c>
      <c r="I29" s="25">
        <v>67.7045682577983</v>
      </c>
      <c r="J29" s="25">
        <v>29.648333233856</v>
      </c>
      <c r="L29" s="29"/>
      <c r="M29" s="30"/>
      <c r="O29" s="27"/>
      <c r="P29" s="27"/>
      <c r="Q29" s="27"/>
      <c r="R29" s="27"/>
      <c r="S29" s="27"/>
      <c r="T29" s="27"/>
      <c r="U29" s="27"/>
      <c r="V29" s="27"/>
      <c r="W29" s="27"/>
      <c r="X29" s="27"/>
    </row>
    <row r="30">
      <c r="A30" s="25">
        <v>27.6105195313359</v>
      </c>
      <c r="B30" s="25">
        <v>7.2773090138752</v>
      </c>
      <c r="C30" s="25">
        <v>755.807167357916</v>
      </c>
      <c r="D30" s="25">
        <v>0.187769561291287</v>
      </c>
      <c r="E30" s="25">
        <v>0.125045859381219</v>
      </c>
      <c r="F30" s="25">
        <v>0.652244475520144</v>
      </c>
      <c r="G30" s="25">
        <v>8.14899845814383</v>
      </c>
      <c r="H30" s="25">
        <v>21.7569356168589</v>
      </c>
      <c r="I30" s="25">
        <v>48.3059471887862</v>
      </c>
      <c r="J30" s="25">
        <v>33.8035213466595</v>
      </c>
      <c r="L30" s="29"/>
      <c r="M30" s="30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>
      <c r="A31" s="25">
        <v>6.68688120527076</v>
      </c>
      <c r="B31" s="25">
        <v>22.2823946743726</v>
      </c>
      <c r="C31" s="25">
        <v>3389.39267476598</v>
      </c>
      <c r="D31" s="25">
        <v>0.109755894966774</v>
      </c>
      <c r="E31" s="25">
        <v>0.0686228781058418</v>
      </c>
      <c r="F31" s="25">
        <v>0.102404247333069</v>
      </c>
      <c r="G31" s="25">
        <v>2.25972250172148</v>
      </c>
      <c r="H31" s="25">
        <v>20.4784168744779</v>
      </c>
      <c r="I31" s="25">
        <v>91.3859245877737</v>
      </c>
      <c r="J31" s="25">
        <v>21.7078395018483</v>
      </c>
      <c r="L31" s="29"/>
      <c r="M31" s="30"/>
      <c r="O31" s="27"/>
      <c r="P31" s="27"/>
      <c r="Q31" s="27"/>
      <c r="R31" s="27"/>
      <c r="S31" s="27"/>
      <c r="T31" s="27"/>
      <c r="U31" s="27"/>
      <c r="V31" s="27"/>
      <c r="W31" s="27"/>
      <c r="X31" s="27"/>
    </row>
    <row r="32">
      <c r="A32" s="25">
        <v>29.3392020135268</v>
      </c>
      <c r="B32" s="25">
        <v>6.36695140071262</v>
      </c>
      <c r="C32" s="25">
        <v>737.04097304946</v>
      </c>
      <c r="D32" s="25">
        <v>0.15236993356582</v>
      </c>
      <c r="E32" s="25">
        <v>0.0569793317358023</v>
      </c>
      <c r="F32" s="25">
        <v>0.711544445577017</v>
      </c>
      <c r="G32" s="25">
        <v>9.50943921382166</v>
      </c>
      <c r="H32" s="25">
        <v>15.1155406523842</v>
      </c>
      <c r="I32" s="25">
        <v>73.3569211206514</v>
      </c>
      <c r="J32" s="25">
        <v>22.0920520173966</v>
      </c>
      <c r="L32" s="29"/>
      <c r="M32" s="30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>
      <c r="A33" s="25">
        <v>12.6490208895764</v>
      </c>
      <c r="B33" s="25">
        <v>25.7662744826316</v>
      </c>
      <c r="C33" s="25">
        <v>2022.68439989816</v>
      </c>
      <c r="D33" s="25">
        <v>0.160155237226476</v>
      </c>
      <c r="E33" s="25">
        <v>0.178853606359027</v>
      </c>
      <c r="F33" s="25">
        <v>0.0898477306978503</v>
      </c>
      <c r="G33" s="25">
        <v>2.3711458733713</v>
      </c>
      <c r="H33" s="25">
        <v>21.9800740664208</v>
      </c>
      <c r="I33" s="25">
        <v>85.865897874729</v>
      </c>
      <c r="J33" s="25">
        <v>33.7545821168633</v>
      </c>
      <c r="L33" s="29"/>
      <c r="M33" s="30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>
      <c r="A34" s="25">
        <v>15.838910308299</v>
      </c>
      <c r="B34" s="25">
        <v>21.0176833732048</v>
      </c>
      <c r="C34" s="25">
        <v>4270.08212966016</v>
      </c>
      <c r="D34" s="25">
        <v>0.179406151693876</v>
      </c>
      <c r="E34" s="25">
        <v>0.125619688796375</v>
      </c>
      <c r="F34" s="25">
        <v>0.0783720906090189</v>
      </c>
      <c r="G34" s="25">
        <v>2.39445214237829</v>
      </c>
      <c r="H34" s="25">
        <v>22.8950775958986</v>
      </c>
      <c r="I34" s="25">
        <v>87.8977485689641</v>
      </c>
      <c r="J34" s="25">
        <v>51.6032063891635</v>
      </c>
      <c r="L34" s="29"/>
      <c r="M34" s="30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>
      <c r="A35" s="25">
        <v>107.422494068633</v>
      </c>
      <c r="B35" s="25">
        <v>2.51096470174823</v>
      </c>
      <c r="C35" s="25">
        <v>580.182088324591</v>
      </c>
      <c r="D35" s="25">
        <v>0.0795962313489224</v>
      </c>
      <c r="E35" s="25">
        <v>0.0</v>
      </c>
      <c r="F35" s="25">
        <v>0.199191368908259</v>
      </c>
      <c r="G35" s="25">
        <v>2.19381211846121</v>
      </c>
      <c r="H35" s="25">
        <v>2.47272977393803</v>
      </c>
      <c r="I35" s="25">
        <v>15.1473470335164</v>
      </c>
      <c r="J35" s="25">
        <v>76.7350611859269</v>
      </c>
      <c r="L35" s="29"/>
      <c r="M35" s="30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>
      <c r="A36" s="25">
        <v>96.5385474752832</v>
      </c>
      <c r="B36" s="25">
        <v>2.6713492067867</v>
      </c>
      <c r="C36" s="25">
        <v>524.410837177523</v>
      </c>
      <c r="D36" s="25">
        <v>0.0</v>
      </c>
      <c r="E36" s="25">
        <v>0.0894245823243426</v>
      </c>
      <c r="F36" s="25">
        <v>0.377086519388696</v>
      </c>
      <c r="G36" s="25">
        <v>2.78212063133023</v>
      </c>
      <c r="H36" s="25">
        <v>4.71563106481039</v>
      </c>
      <c r="I36" s="25">
        <v>17.7079712599553</v>
      </c>
      <c r="J36" s="25">
        <v>62.0929846026943</v>
      </c>
      <c r="L36" s="29"/>
      <c r="M36" s="30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>
      <c r="A37" s="25">
        <v>102.655637322125</v>
      </c>
      <c r="B37" s="25">
        <v>6.40603928670659</v>
      </c>
      <c r="C37" s="25">
        <v>427.279938258774</v>
      </c>
      <c r="D37" s="25">
        <v>0.112411029315016</v>
      </c>
      <c r="E37" s="25">
        <v>0.0616255640183902</v>
      </c>
      <c r="F37" s="25">
        <v>0.21501556305352</v>
      </c>
      <c r="G37" s="25">
        <v>6.24550372481636</v>
      </c>
      <c r="H37" s="25">
        <v>1.71587426113669</v>
      </c>
      <c r="I37" s="25">
        <v>15.5725298977551</v>
      </c>
      <c r="J37" s="25">
        <v>61.6563978726441</v>
      </c>
      <c r="L37" s="29"/>
      <c r="M37" s="30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>
      <c r="A38" s="25">
        <v>47.1846973861958</v>
      </c>
      <c r="B38" s="25">
        <v>9.00098631586084</v>
      </c>
      <c r="C38" s="25">
        <v>1311.26198327736</v>
      </c>
      <c r="D38" s="25">
        <v>0.748998360114525</v>
      </c>
      <c r="E38" s="25">
        <v>0.723012506470662</v>
      </c>
      <c r="F38" s="25">
        <v>0.131486539895238</v>
      </c>
      <c r="G38" s="25">
        <v>3.55570673992388</v>
      </c>
      <c r="H38" s="25">
        <v>16.5092019721794</v>
      </c>
      <c r="I38" s="25">
        <v>69.0838633997442</v>
      </c>
      <c r="J38" s="25">
        <v>30.7783467582237</v>
      </c>
      <c r="L38" s="29"/>
      <c r="M38" s="30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>
      <c r="A39" s="25">
        <v>14.3480296005283</v>
      </c>
      <c r="B39" s="25">
        <v>25.4225514352198</v>
      </c>
      <c r="C39" s="25">
        <v>4330.74792257896</v>
      </c>
      <c r="D39" s="25">
        <v>0.293839790627903</v>
      </c>
      <c r="E39" s="25">
        <v>0.111310540044821</v>
      </c>
      <c r="F39" s="25">
        <v>0.0377672648344291</v>
      </c>
      <c r="G39" s="25">
        <v>0.221279751095721</v>
      </c>
      <c r="H39" s="25">
        <v>32.4802215574459</v>
      </c>
      <c r="I39" s="25">
        <v>91.5436565635405</v>
      </c>
      <c r="J39" s="25">
        <v>34.5553226327163</v>
      </c>
      <c r="L39" s="29"/>
      <c r="M39" s="30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>
      <c r="A40" s="25">
        <v>32.7996862631982</v>
      </c>
      <c r="B40" s="25">
        <v>6.62353285810487</v>
      </c>
      <c r="C40" s="25">
        <v>1511.4379949042</v>
      </c>
      <c r="D40" s="25">
        <v>0.156461059098761</v>
      </c>
      <c r="E40" s="25">
        <v>0.105469739730244</v>
      </c>
      <c r="F40" s="25">
        <v>0.822576662389869</v>
      </c>
      <c r="G40" s="25">
        <v>8.72151384760507</v>
      </c>
      <c r="H40" s="25">
        <v>19.1194201213956</v>
      </c>
      <c r="I40" s="25">
        <v>57.0952554455468</v>
      </c>
      <c r="J40" s="25">
        <v>33.3002784999519</v>
      </c>
      <c r="L40" s="29"/>
      <c r="M40" s="30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>
      <c r="A41" s="25">
        <v>68.2303674471255</v>
      </c>
      <c r="B41" s="25">
        <v>12.0362601384649</v>
      </c>
      <c r="C41" s="25">
        <v>1477.95598799181</v>
      </c>
      <c r="D41" s="25">
        <v>0.748878432356881</v>
      </c>
      <c r="E41" s="25">
        <v>0.651039517974142</v>
      </c>
      <c r="F41" s="25">
        <v>0.191194915593024</v>
      </c>
      <c r="G41" s="25">
        <v>4.05572491228869</v>
      </c>
      <c r="H41" s="25">
        <v>19.3767660738837</v>
      </c>
      <c r="I41" s="25">
        <v>39.6904244434221</v>
      </c>
      <c r="J41" s="25">
        <v>55.2955031946061</v>
      </c>
      <c r="L41" s="29"/>
      <c r="M41" s="30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>
      <c r="A42" s="25">
        <v>9.20996050710505</v>
      </c>
      <c r="B42" s="25">
        <v>18.2924757202103</v>
      </c>
      <c r="C42" s="25">
        <v>3190.31649979186</v>
      </c>
      <c r="D42" s="25">
        <v>0.117257166406711</v>
      </c>
      <c r="E42" s="25">
        <v>0.191158529198095</v>
      </c>
      <c r="F42" s="25">
        <v>0.10366589835942</v>
      </c>
      <c r="G42" s="25">
        <v>0.710039100258946</v>
      </c>
      <c r="H42" s="25">
        <v>18.5246061396819</v>
      </c>
      <c r="I42" s="25">
        <v>81.6421530070987</v>
      </c>
      <c r="J42" s="25">
        <v>48.3521722023151</v>
      </c>
      <c r="L42" s="29"/>
      <c r="M42" s="30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>
      <c r="A43" s="25">
        <v>36.1061297295459</v>
      </c>
      <c r="B43" s="25">
        <v>3.49057114064568</v>
      </c>
      <c r="C43" s="25">
        <v>926.277080774216</v>
      </c>
      <c r="D43" s="25">
        <v>0.772727643025233</v>
      </c>
      <c r="E43" s="25">
        <v>0.480311335705842</v>
      </c>
      <c r="F43" s="25">
        <v>0.196199359343753</v>
      </c>
      <c r="G43" s="25">
        <v>3.76906546979132</v>
      </c>
      <c r="H43" s="25">
        <v>17.7848254592536</v>
      </c>
      <c r="I43" s="25">
        <v>82.1874731393441</v>
      </c>
      <c r="J43" s="25">
        <v>51.2656502954775</v>
      </c>
      <c r="L43" s="29"/>
      <c r="M43" s="30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>
      <c r="A44" s="25">
        <v>8.65555654722584</v>
      </c>
      <c r="B44" s="25">
        <v>15.5738963650333</v>
      </c>
      <c r="C44" s="25">
        <v>6058.68784259988</v>
      </c>
      <c r="D44" s="25">
        <v>0.202960921700724</v>
      </c>
      <c r="E44" s="25">
        <v>0.150696464595647</v>
      </c>
      <c r="F44" s="25">
        <v>0.0987937456444998</v>
      </c>
      <c r="G44" s="25">
        <v>2.19808476076785</v>
      </c>
      <c r="H44" s="25">
        <v>24.2781979403802</v>
      </c>
      <c r="I44" s="25">
        <v>79.2633799311976</v>
      </c>
      <c r="J44" s="25">
        <v>30.6251284700768</v>
      </c>
      <c r="L44" s="29"/>
      <c r="M44" s="30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>
      <c r="A45" s="25">
        <v>89.34493459568</v>
      </c>
      <c r="B45" s="25">
        <v>2.18486284329935</v>
      </c>
      <c r="C45" s="25">
        <v>293.073132598425</v>
      </c>
      <c r="D45" s="25">
        <v>0.105321511384594</v>
      </c>
      <c r="E45" s="25">
        <v>0.0698009113031657</v>
      </c>
      <c r="F45" s="25">
        <v>0.450399298858268</v>
      </c>
      <c r="G45" s="25">
        <v>1.02354528741048</v>
      </c>
      <c r="H45" s="25">
        <v>4.63726027788369</v>
      </c>
      <c r="I45" s="25">
        <v>24.968681539981</v>
      </c>
      <c r="J45" s="25">
        <v>50.4862683731429</v>
      </c>
      <c r="L45" s="29"/>
      <c r="M45" s="30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>
      <c r="A46" s="25">
        <v>34.8596860887947</v>
      </c>
      <c r="B46" s="25">
        <v>6.88567740201262</v>
      </c>
      <c r="C46" s="25">
        <v>577.746491584653</v>
      </c>
      <c r="D46" s="25">
        <v>0.722218331240912</v>
      </c>
      <c r="E46" s="25">
        <v>0.638942415453417</v>
      </c>
      <c r="F46" s="25">
        <v>0.322658931039653</v>
      </c>
      <c r="G46" s="25">
        <v>4.93567839314746</v>
      </c>
      <c r="H46" s="25">
        <v>20.0862203799766</v>
      </c>
      <c r="I46" s="25">
        <v>68.6600647685188</v>
      </c>
      <c r="J46" s="25">
        <v>28.7094822878277</v>
      </c>
      <c r="L46" s="29"/>
      <c r="M46" s="30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>
      <c r="A47" s="25">
        <v>24.7547973372022</v>
      </c>
      <c r="B47" s="25">
        <v>11.4681236836837</v>
      </c>
      <c r="C47" s="25">
        <v>594.468047777013</v>
      </c>
      <c r="D47" s="25">
        <v>0.185649921508619</v>
      </c>
      <c r="E47" s="25">
        <v>0.0879837300920932</v>
      </c>
      <c r="F47" s="25">
        <v>0.71251791924504</v>
      </c>
      <c r="G47" s="25">
        <v>9.06643995230523</v>
      </c>
      <c r="H47" s="25">
        <v>20.2213165574302</v>
      </c>
      <c r="I47" s="25">
        <v>61.3903383418092</v>
      </c>
      <c r="J47" s="25">
        <v>38.1153086235497</v>
      </c>
      <c r="L47" s="29"/>
      <c r="M47" s="30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>
      <c r="A48" s="25">
        <v>23.7840500860015</v>
      </c>
      <c r="B48" s="25">
        <v>9.84780682083279</v>
      </c>
      <c r="C48" s="25">
        <v>1177.93037739051</v>
      </c>
      <c r="D48" s="25">
        <v>0.769045356068601</v>
      </c>
      <c r="E48" s="25">
        <v>0.782613302224211</v>
      </c>
      <c r="F48" s="25">
        <v>0.112422049653028</v>
      </c>
      <c r="G48" s="25">
        <v>4.9240270192069</v>
      </c>
      <c r="H48" s="25">
        <v>14.260391454228</v>
      </c>
      <c r="I48" s="25">
        <v>53.7273237537715</v>
      </c>
      <c r="J48" s="25">
        <v>50.4900922583688</v>
      </c>
      <c r="L48" s="29"/>
      <c r="M48" s="30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>
      <c r="A49" s="25">
        <v>22.9565630945724</v>
      </c>
      <c r="B49" s="25">
        <v>5.77461611090932</v>
      </c>
      <c r="C49" s="25">
        <v>510.842706619024</v>
      </c>
      <c r="D49" s="25">
        <v>0.180300497567281</v>
      </c>
      <c r="E49" s="25">
        <v>0.0359785323751858</v>
      </c>
      <c r="F49" s="25">
        <v>0.925479418198436</v>
      </c>
      <c r="G49" s="25">
        <v>4.87710588817441</v>
      </c>
      <c r="H49" s="25">
        <v>26.4822818414501</v>
      </c>
      <c r="I49" s="25">
        <v>67.1101746720261</v>
      </c>
      <c r="J49" s="25">
        <v>29.3230082169072</v>
      </c>
      <c r="L49" s="29"/>
      <c r="M49" s="30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>
      <c r="A50" s="25">
        <v>24.5508091319105</v>
      </c>
      <c r="B50" s="25">
        <v>11.1974083430562</v>
      </c>
      <c r="C50" s="25">
        <v>890.591324393787</v>
      </c>
      <c r="D50" s="25">
        <v>0.205165094100826</v>
      </c>
      <c r="E50" s="25">
        <v>0.105711382433101</v>
      </c>
      <c r="F50" s="25">
        <v>0.765030176146187</v>
      </c>
      <c r="G50" s="25">
        <v>7.45458168167921</v>
      </c>
      <c r="H50" s="25">
        <v>17.7152718813946</v>
      </c>
      <c r="I50" s="25">
        <v>68.0780176889206</v>
      </c>
      <c r="J50" s="25">
        <v>18.0288212514036</v>
      </c>
      <c r="L50" s="29"/>
      <c r="M50" s="30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>
      <c r="A51" s="25">
        <v>3.25907288947143</v>
      </c>
      <c r="B51" s="25">
        <v>22.9730563760908</v>
      </c>
      <c r="C51" s="25">
        <v>4136.69235050235</v>
      </c>
      <c r="D51" s="25">
        <v>0.190800833182366</v>
      </c>
      <c r="E51" s="25">
        <v>0.150921696653269</v>
      </c>
      <c r="F51" s="25">
        <v>0.117379085268083</v>
      </c>
      <c r="G51" s="25">
        <v>1.46024031969063</v>
      </c>
      <c r="H51" s="25">
        <v>21.1084763729884</v>
      </c>
      <c r="I51" s="25">
        <v>86.9584525509768</v>
      </c>
      <c r="J51" s="25">
        <v>27.1730177790797</v>
      </c>
      <c r="L51" s="29"/>
      <c r="M51" s="30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>
      <c r="A52" s="25">
        <v>98.1650551142894</v>
      </c>
      <c r="B52" s="25">
        <v>0.446124593643239</v>
      </c>
      <c r="C52" s="25">
        <v>554.373345598846</v>
      </c>
      <c r="D52" s="25">
        <v>0.123629874120652</v>
      </c>
      <c r="E52" s="25">
        <v>0.090241189372555</v>
      </c>
      <c r="F52" s="25">
        <v>0.398269098394551</v>
      </c>
      <c r="G52" s="25">
        <v>7.49821166669386</v>
      </c>
      <c r="H52" s="25">
        <v>4.52155509752719</v>
      </c>
      <c r="I52" s="25">
        <v>0.273006149346837</v>
      </c>
      <c r="J52" s="25">
        <v>56.04296123285</v>
      </c>
      <c r="L52" s="29"/>
      <c r="M52" s="30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>
      <c r="A53" s="25">
        <v>77.5036284460864</v>
      </c>
      <c r="B53" s="25">
        <v>3.03913657531625</v>
      </c>
      <c r="C53" s="25">
        <v>477.648853070368</v>
      </c>
      <c r="D53" s="25">
        <v>0.0637128093423267</v>
      </c>
      <c r="E53" s="25">
        <v>0.0874706705790831</v>
      </c>
      <c r="F53" s="25">
        <v>0.224461706764667</v>
      </c>
      <c r="G53" s="25">
        <v>4.08272329551207</v>
      </c>
      <c r="H53" s="25">
        <v>0.890008354727666</v>
      </c>
      <c r="I53" s="25">
        <v>7.61413403111276</v>
      </c>
      <c r="J53" s="25">
        <v>55.5382077606856</v>
      </c>
      <c r="L53" s="29"/>
      <c r="M53" s="30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>
      <c r="A54" s="25">
        <v>70.4825349404533</v>
      </c>
      <c r="B54" s="25">
        <v>4.58046269491175</v>
      </c>
      <c r="C54" s="25">
        <v>257.590166675208</v>
      </c>
      <c r="D54" s="25">
        <v>0.231619103241869</v>
      </c>
      <c r="E54" s="25">
        <v>0.0997327160352355</v>
      </c>
      <c r="F54" s="25">
        <v>0.318483612369487</v>
      </c>
      <c r="G54" s="25">
        <v>3.71246332972817</v>
      </c>
      <c r="H54" s="25">
        <v>4.05046481911348</v>
      </c>
      <c r="I54" s="25">
        <v>10.3948973900978</v>
      </c>
      <c r="J54" s="25">
        <v>65.8540687025175</v>
      </c>
      <c r="L54" s="29"/>
      <c r="M54" s="30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>
      <c r="A55" s="25">
        <v>141.201690765375</v>
      </c>
      <c r="B55" s="25">
        <v>2.85591015041302</v>
      </c>
      <c r="C55" s="25">
        <v>572.390998942851</v>
      </c>
      <c r="D55" s="25">
        <v>0.0648411787437056</v>
      </c>
      <c r="E55" s="25">
        <v>0.0786004603801215</v>
      </c>
      <c r="F55" s="25">
        <v>0.477080063563551</v>
      </c>
      <c r="G55" s="25">
        <v>4.05954941331834</v>
      </c>
      <c r="H55" s="25">
        <v>5.71867283699539</v>
      </c>
      <c r="I55" s="25">
        <v>20.6620154836438</v>
      </c>
      <c r="J55" s="25">
        <v>61.0627325687401</v>
      </c>
      <c r="L55" s="29"/>
      <c r="M55" s="30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>
      <c r="A56" s="25">
        <v>36.3240773905552</v>
      </c>
      <c r="B56" s="25">
        <v>12.9176633488801</v>
      </c>
      <c r="C56" s="25">
        <v>1055.45249055429</v>
      </c>
      <c r="D56" s="25">
        <v>0.0714887640054771</v>
      </c>
      <c r="E56" s="25">
        <v>0.0636431412087565</v>
      </c>
      <c r="F56" s="25">
        <v>0.725248136444849</v>
      </c>
      <c r="G56" s="25">
        <v>7.88834985634993</v>
      </c>
      <c r="H56" s="25">
        <v>21.1033604877533</v>
      </c>
      <c r="I56" s="25">
        <v>66.7770100093325</v>
      </c>
      <c r="J56" s="25">
        <v>20.6525894890292</v>
      </c>
      <c r="L56" s="29"/>
      <c r="M56" s="30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>
      <c r="A57" s="25">
        <v>97.6039570201192</v>
      </c>
      <c r="B57" s="25">
        <v>3.91587861792573</v>
      </c>
      <c r="C57" s="25">
        <v>483.968567189655</v>
      </c>
      <c r="D57" s="25">
        <v>0.154039036277731</v>
      </c>
      <c r="E57" s="25">
        <v>0.113356886181956</v>
      </c>
      <c r="F57" s="25">
        <v>0.345918007922843</v>
      </c>
      <c r="G57" s="25">
        <v>4.89475143281202</v>
      </c>
      <c r="H57" s="25">
        <v>0.508558599726012</v>
      </c>
      <c r="I57" s="25">
        <v>18.4369457530606</v>
      </c>
      <c r="J57" s="25">
        <v>66.4538138101417</v>
      </c>
      <c r="L57" s="29"/>
      <c r="M57" s="30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>
      <c r="A58" s="25">
        <v>11.3578941859768</v>
      </c>
      <c r="B58" s="25">
        <v>14.8930056967187</v>
      </c>
      <c r="C58" s="25">
        <v>3135.15476767339</v>
      </c>
      <c r="D58" s="25">
        <v>0.252657642666645</v>
      </c>
      <c r="E58" s="25">
        <v>0.148022242307167</v>
      </c>
      <c r="F58" s="25">
        <v>0.134075034868631</v>
      </c>
      <c r="G58" s="25">
        <v>2.02831837613046</v>
      </c>
      <c r="H58" s="25">
        <v>25.1487806974787</v>
      </c>
      <c r="I58" s="25">
        <v>94.3828380597599</v>
      </c>
      <c r="J58" s="25">
        <v>30.871642174261</v>
      </c>
      <c r="L58" s="29"/>
      <c r="M58" s="30"/>
      <c r="O58" s="27"/>
      <c r="P58" s="27"/>
      <c r="Q58" s="27"/>
      <c r="R58" s="27"/>
      <c r="S58" s="27"/>
      <c r="T58" s="27"/>
      <c r="U58" s="27"/>
      <c r="V58" s="27"/>
      <c r="W58" s="27"/>
      <c r="X58" s="27"/>
    </row>
    <row r="59">
      <c r="A59" s="25">
        <v>10.4806038847049</v>
      </c>
      <c r="B59" s="25">
        <v>18.1508988451798</v>
      </c>
      <c r="C59" s="25">
        <v>3652.40301805414</v>
      </c>
      <c r="D59" s="25">
        <v>0.184541393826568</v>
      </c>
      <c r="E59" s="25">
        <v>0.161106688581685</v>
      </c>
      <c r="F59" s="25">
        <v>0.0760625689168261</v>
      </c>
      <c r="G59" s="25">
        <v>3.25575612557352</v>
      </c>
      <c r="H59" s="25">
        <v>20.5269634889024</v>
      </c>
      <c r="I59" s="25">
        <v>83.1312835583864</v>
      </c>
      <c r="J59" s="25">
        <v>31.4821515338066</v>
      </c>
      <c r="L59" s="29"/>
      <c r="M59" s="30"/>
      <c r="O59" s="27"/>
      <c r="P59" s="27"/>
      <c r="Q59" s="27"/>
      <c r="R59" s="27"/>
      <c r="S59" s="27"/>
      <c r="T59" s="27"/>
      <c r="U59" s="27"/>
      <c r="V59" s="27"/>
      <c r="W59" s="27"/>
      <c r="X59" s="27"/>
    </row>
    <row r="60">
      <c r="A60" s="25">
        <v>17.2348894217686</v>
      </c>
      <c r="B60" s="25">
        <v>20.7862191060463</v>
      </c>
      <c r="C60" s="25">
        <v>4825.4756315749</v>
      </c>
      <c r="D60" s="25">
        <v>0.125721981348151</v>
      </c>
      <c r="E60" s="25">
        <v>0.163352513293462</v>
      </c>
      <c r="F60" s="25">
        <v>0.144481539781171</v>
      </c>
      <c r="G60" s="25">
        <v>2.08228398927542</v>
      </c>
      <c r="H60" s="25">
        <v>30.3274018753267</v>
      </c>
      <c r="I60" s="25">
        <v>79.8271154989962</v>
      </c>
      <c r="J60" s="25">
        <v>46.2747795214846</v>
      </c>
      <c r="L60" s="29"/>
      <c r="M60" s="30"/>
      <c r="O60" s="27"/>
      <c r="P60" s="27"/>
      <c r="Q60" s="27"/>
      <c r="R60" s="27"/>
      <c r="S60" s="27"/>
      <c r="T60" s="27"/>
      <c r="U60" s="27"/>
      <c r="V60" s="27"/>
      <c r="W60" s="27"/>
      <c r="X60" s="27"/>
    </row>
    <row r="61">
      <c r="A61" s="25">
        <v>74.4834718542887</v>
      </c>
      <c r="B61" s="25">
        <v>6.91148431868102</v>
      </c>
      <c r="C61" s="25">
        <v>866.349243579768</v>
      </c>
      <c r="D61" s="25">
        <v>0.94533844771177</v>
      </c>
      <c r="E61" s="25">
        <v>0.907957214573071</v>
      </c>
      <c r="F61" s="25">
        <v>0.163399798099271</v>
      </c>
      <c r="G61" s="25">
        <v>3.57981318290414</v>
      </c>
      <c r="H61" s="25">
        <v>13.8728615645579</v>
      </c>
      <c r="I61" s="25">
        <v>43.8665938675886</v>
      </c>
      <c r="J61" s="25">
        <v>30.813480535158</v>
      </c>
      <c r="L61" s="29"/>
      <c r="M61" s="30"/>
      <c r="O61" s="27"/>
      <c r="P61" s="27"/>
      <c r="Q61" s="27"/>
      <c r="R61" s="27"/>
      <c r="S61" s="27"/>
      <c r="T61" s="27"/>
      <c r="U61" s="27"/>
      <c r="V61" s="27"/>
      <c r="W61" s="27"/>
      <c r="X61" s="27"/>
    </row>
    <row r="62">
      <c r="A62" s="25">
        <v>24.9378884987189</v>
      </c>
      <c r="B62" s="25">
        <v>5.69660730468761</v>
      </c>
      <c r="C62" s="25">
        <v>989.594533783965</v>
      </c>
      <c r="D62" s="25">
        <v>0.823421473253652</v>
      </c>
      <c r="E62" s="25">
        <v>0.905050049281407</v>
      </c>
      <c r="F62" s="25">
        <v>0.130115217148284</v>
      </c>
      <c r="G62" s="25">
        <v>4.98432239847658</v>
      </c>
      <c r="H62" s="25">
        <v>14.1440446230979</v>
      </c>
      <c r="I62" s="25">
        <v>59.4064354841708</v>
      </c>
      <c r="J62" s="25">
        <v>46.748194921666</v>
      </c>
      <c r="L62" s="29"/>
      <c r="M62" s="30"/>
      <c r="O62" s="27"/>
      <c r="P62" s="27"/>
      <c r="Q62" s="27"/>
      <c r="R62" s="27"/>
      <c r="S62" s="27"/>
      <c r="T62" s="27"/>
      <c r="U62" s="27"/>
      <c r="V62" s="27"/>
      <c r="W62" s="27"/>
      <c r="X62" s="27"/>
    </row>
    <row r="63">
      <c r="A63" s="25">
        <v>23.1591696765655</v>
      </c>
      <c r="B63" s="25">
        <v>9.14722923855215</v>
      </c>
      <c r="C63" s="25">
        <v>1049.93566246391</v>
      </c>
      <c r="D63" s="25">
        <v>0.849245126400815</v>
      </c>
      <c r="E63" s="25">
        <v>0.778916864390781</v>
      </c>
      <c r="F63" s="25">
        <v>0.371871009793762</v>
      </c>
      <c r="G63" s="25">
        <v>3.36226001574868</v>
      </c>
      <c r="H63" s="25">
        <v>12.8760121799927</v>
      </c>
      <c r="I63" s="25">
        <v>52.5223136829028</v>
      </c>
      <c r="J63" s="25">
        <v>34.4452288083974</v>
      </c>
      <c r="L63" s="29"/>
      <c r="M63" s="30"/>
      <c r="O63" s="27"/>
      <c r="P63" s="27"/>
      <c r="Q63" s="27"/>
      <c r="R63" s="27"/>
      <c r="S63" s="27"/>
      <c r="T63" s="27"/>
      <c r="U63" s="27"/>
      <c r="V63" s="27"/>
      <c r="W63" s="27"/>
      <c r="X63" s="27"/>
    </row>
    <row r="64">
      <c r="A64" s="25">
        <v>77.2522574538696</v>
      </c>
      <c r="B64" s="25">
        <v>4.78352479666132</v>
      </c>
      <c r="C64" s="25">
        <v>613.075637198478</v>
      </c>
      <c r="D64" s="25">
        <v>0.0714626853125262</v>
      </c>
      <c r="E64" s="25">
        <v>0.0467057770758308</v>
      </c>
      <c r="F64" s="25">
        <v>0.34714155563864</v>
      </c>
      <c r="G64" s="25">
        <v>4.17166543357854</v>
      </c>
      <c r="H64" s="25">
        <v>3.94939772663326</v>
      </c>
      <c r="I64" s="25">
        <v>16.6233841668103</v>
      </c>
      <c r="J64" s="25">
        <v>54.3897911950193</v>
      </c>
      <c r="L64" s="29"/>
      <c r="M64" s="30"/>
      <c r="O64" s="27"/>
      <c r="P64" s="27"/>
      <c r="Q64" s="27"/>
      <c r="R64" s="27"/>
      <c r="S64" s="27"/>
      <c r="T64" s="27"/>
      <c r="U64" s="27"/>
      <c r="V64" s="27"/>
      <c r="W64" s="27"/>
      <c r="X64" s="27"/>
    </row>
    <row r="65">
      <c r="A65" s="25">
        <v>63.2125780199509</v>
      </c>
      <c r="B65" s="25">
        <v>13.3876330192865</v>
      </c>
      <c r="C65" s="25">
        <v>816.163392854684</v>
      </c>
      <c r="D65" s="25">
        <v>0.761229844006401</v>
      </c>
      <c r="E65" s="25">
        <v>0.77858653907249</v>
      </c>
      <c r="F65" s="25">
        <v>0.223411975299091</v>
      </c>
      <c r="G65" s="25">
        <v>4.65854427267283</v>
      </c>
      <c r="H65" s="25">
        <v>23.0408181550654</v>
      </c>
      <c r="I65" s="25">
        <v>57.8766332700714</v>
      </c>
      <c r="J65" s="25">
        <v>32.0170275546154</v>
      </c>
      <c r="L65" s="29"/>
      <c r="M65" s="30"/>
      <c r="O65" s="27"/>
      <c r="P65" s="27"/>
      <c r="Q65" s="27"/>
      <c r="R65" s="27"/>
      <c r="S65" s="27"/>
      <c r="T65" s="27"/>
      <c r="U65" s="27"/>
      <c r="V65" s="27"/>
      <c r="W65" s="27"/>
      <c r="X65" s="27"/>
    </row>
    <row r="66">
      <c r="A66" s="25">
        <v>19.310211579782</v>
      </c>
      <c r="B66" s="25">
        <v>5.80720988017424</v>
      </c>
      <c r="C66" s="25">
        <v>990.06190813786</v>
      </c>
      <c r="D66" s="25">
        <v>0.979455786351778</v>
      </c>
      <c r="E66" s="25">
        <v>0.698238870096382</v>
      </c>
      <c r="F66" s="25">
        <v>0.215665156614722</v>
      </c>
      <c r="G66" s="25">
        <v>3.98357710392724</v>
      </c>
      <c r="H66" s="25">
        <v>19.7535730937923</v>
      </c>
      <c r="I66" s="25">
        <v>90.3231891104834</v>
      </c>
      <c r="J66" s="25">
        <v>34.6913122707967</v>
      </c>
      <c r="L66" s="29"/>
      <c r="M66" s="30"/>
      <c r="O66" s="27"/>
      <c r="P66" s="27"/>
      <c r="Q66" s="27"/>
      <c r="R66" s="27"/>
      <c r="S66" s="27"/>
      <c r="T66" s="27"/>
      <c r="U66" s="27"/>
      <c r="V66" s="27"/>
      <c r="W66" s="27"/>
      <c r="X66" s="27"/>
    </row>
    <row r="67">
      <c r="A67" s="25">
        <v>25.1056055748177</v>
      </c>
      <c r="B67" s="25">
        <v>13.1324826312072</v>
      </c>
      <c r="C67" s="25">
        <v>1070.47287240657</v>
      </c>
      <c r="D67" s="25">
        <v>0.242335366286801</v>
      </c>
      <c r="E67" s="25">
        <v>0.129196409266298</v>
      </c>
      <c r="F67" s="25">
        <v>0.714070790921294</v>
      </c>
      <c r="G67" s="25">
        <v>8.88598224603846</v>
      </c>
      <c r="H67" s="25">
        <v>23.5435179029145</v>
      </c>
      <c r="I67" s="25">
        <v>73.2048218119736</v>
      </c>
      <c r="J67" s="25">
        <v>33.550918217751</v>
      </c>
      <c r="L67" s="29"/>
      <c r="M67" s="30"/>
      <c r="O67" s="27"/>
      <c r="P67" s="27"/>
      <c r="Q67" s="27"/>
      <c r="R67" s="27"/>
      <c r="S67" s="27"/>
      <c r="T67" s="27"/>
      <c r="U67" s="27"/>
      <c r="V67" s="27"/>
      <c r="W67" s="27"/>
      <c r="X67" s="27"/>
    </row>
    <row r="68">
      <c r="A68" s="25">
        <v>15.3333734479457</v>
      </c>
      <c r="B68" s="25">
        <v>24.6771823617826</v>
      </c>
      <c r="C68" s="25">
        <v>5105.72719283002</v>
      </c>
      <c r="D68" s="25">
        <v>0.232435494379482</v>
      </c>
      <c r="E68" s="25">
        <v>0.141644095984157</v>
      </c>
      <c r="F68" s="25">
        <v>0.107335684321666</v>
      </c>
      <c r="G68" s="25">
        <v>3.20650896650835</v>
      </c>
      <c r="H68" s="25">
        <v>20.9153216450638</v>
      </c>
      <c r="I68" s="25">
        <v>88.686733088729</v>
      </c>
      <c r="J68" s="25">
        <v>31.8532895013811</v>
      </c>
      <c r="L68" s="29"/>
      <c r="M68" s="30"/>
      <c r="O68" s="27"/>
      <c r="P68" s="27"/>
      <c r="Q68" s="27"/>
      <c r="R68" s="27"/>
      <c r="S68" s="27"/>
      <c r="T68" s="27"/>
      <c r="U68" s="27"/>
      <c r="V68" s="27"/>
      <c r="W68" s="27"/>
      <c r="X68" s="27"/>
    </row>
    <row r="69">
      <c r="A69" s="25">
        <v>90.5748964586963</v>
      </c>
      <c r="B69" s="25">
        <v>4.91767779391094</v>
      </c>
      <c r="C69" s="25">
        <v>428.664860202985</v>
      </c>
      <c r="D69" s="25">
        <v>0.102321827407807</v>
      </c>
      <c r="E69" s="25">
        <v>0.0256057543608032</v>
      </c>
      <c r="F69" s="25">
        <v>0.374625356602722</v>
      </c>
      <c r="G69" s="25">
        <v>5.96822627171161</v>
      </c>
      <c r="H69" s="25">
        <v>6.24488208495819</v>
      </c>
      <c r="I69" s="25">
        <v>12.5377741203759</v>
      </c>
      <c r="J69" s="25">
        <v>66.5340522936475</v>
      </c>
      <c r="L69" s="29"/>
      <c r="M69" s="30"/>
      <c r="O69" s="27"/>
      <c r="P69" s="27"/>
      <c r="Q69" s="27"/>
      <c r="R69" s="27"/>
      <c r="S69" s="27"/>
      <c r="T69" s="27"/>
      <c r="U69" s="27"/>
      <c r="V69" s="27"/>
      <c r="W69" s="27"/>
      <c r="X69" s="27"/>
    </row>
    <row r="70">
      <c r="A70" s="25">
        <v>11.2469184185537</v>
      </c>
      <c r="B70" s="25">
        <v>26.3098131190539</v>
      </c>
      <c r="C70" s="25">
        <v>3923.76357409043</v>
      </c>
      <c r="D70" s="25">
        <v>0.213951076288516</v>
      </c>
      <c r="E70" s="25">
        <v>0.180394825485826</v>
      </c>
      <c r="F70" s="25">
        <v>0.109330456157817</v>
      </c>
      <c r="G70" s="25">
        <v>1.55356638544947</v>
      </c>
      <c r="H70" s="25">
        <v>25.9704499644915</v>
      </c>
      <c r="I70" s="25">
        <v>95.7363174985977</v>
      </c>
      <c r="J70" s="25">
        <v>26.7878776047115</v>
      </c>
      <c r="L70" s="29"/>
      <c r="M70" s="30"/>
      <c r="O70" s="27"/>
      <c r="P70" s="27"/>
      <c r="Q70" s="27"/>
      <c r="R70" s="27"/>
      <c r="S70" s="27"/>
      <c r="T70" s="27"/>
      <c r="U70" s="27"/>
      <c r="V70" s="27"/>
      <c r="W70" s="27"/>
      <c r="X70" s="27"/>
    </row>
    <row r="71">
      <c r="A71" s="25">
        <v>92.6593934829375</v>
      </c>
      <c r="B71" s="25">
        <v>1.94981877759124</v>
      </c>
      <c r="C71" s="25">
        <v>579.256994338726</v>
      </c>
      <c r="D71" s="25">
        <v>0.0238406547608112</v>
      </c>
      <c r="E71" s="25">
        <v>0.0576431261091364</v>
      </c>
      <c r="F71" s="25">
        <v>0.337721187506452</v>
      </c>
      <c r="G71" s="25">
        <v>7.34828604385151</v>
      </c>
      <c r="H71" s="25">
        <v>2.90137460839051</v>
      </c>
      <c r="I71" s="25">
        <v>10.5584037864544</v>
      </c>
      <c r="J71" s="25">
        <v>78.1680994860841</v>
      </c>
      <c r="L71" s="29"/>
      <c r="M71" s="30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>
      <c r="A72" s="25">
        <v>61.0397219916751</v>
      </c>
      <c r="B72" s="25">
        <v>0.0</v>
      </c>
      <c r="C72" s="25">
        <v>466.002167507999</v>
      </c>
      <c r="D72" s="25">
        <v>0.0748972887823694</v>
      </c>
      <c r="E72" s="25">
        <v>0.0391506873147714</v>
      </c>
      <c r="F72" s="25">
        <v>0.370835644729935</v>
      </c>
      <c r="G72" s="25">
        <v>5.36570107065679</v>
      </c>
      <c r="H72" s="25">
        <v>2.1538820538949</v>
      </c>
      <c r="I72" s="25">
        <v>4.75756481063284</v>
      </c>
      <c r="J72" s="25">
        <v>71.107201297961</v>
      </c>
      <c r="L72" s="29"/>
      <c r="M72" s="30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>
      <c r="A73" s="25">
        <v>13.2510058897933</v>
      </c>
      <c r="B73" s="25">
        <v>19.6032965448824</v>
      </c>
      <c r="C73" s="25">
        <v>5477.30959683813</v>
      </c>
      <c r="D73" s="25">
        <v>0.146495761683692</v>
      </c>
      <c r="E73" s="25">
        <v>0.073723741453763</v>
      </c>
      <c r="F73" s="25">
        <v>0.0654045965059377</v>
      </c>
      <c r="G73" s="25">
        <v>1.9544139836445</v>
      </c>
      <c r="H73" s="25">
        <v>26.2166972466134</v>
      </c>
      <c r="I73" s="25">
        <v>82.5876394214367</v>
      </c>
      <c r="J73" s="25">
        <v>37.8164431721143</v>
      </c>
      <c r="L73" s="29"/>
      <c r="M73" s="30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>
      <c r="A74" s="25">
        <v>3.74230287904778</v>
      </c>
      <c r="B74" s="25">
        <v>25.775058416293</v>
      </c>
      <c r="C74" s="25">
        <v>3934.27905728594</v>
      </c>
      <c r="D74" s="25">
        <v>0.255864791579406</v>
      </c>
      <c r="E74" s="25">
        <v>0.167136267318885</v>
      </c>
      <c r="F74" s="25">
        <v>0.122837660957689</v>
      </c>
      <c r="G74" s="25">
        <v>2.5697672802322</v>
      </c>
      <c r="H74" s="25">
        <v>27.2385428000865</v>
      </c>
      <c r="I74" s="25">
        <v>91.4272275986754</v>
      </c>
      <c r="J74" s="25">
        <v>45.6332202410594</v>
      </c>
      <c r="L74" s="29"/>
      <c r="M74" s="30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>
      <c r="A75" s="25">
        <v>93.9304233940294</v>
      </c>
      <c r="B75" s="25">
        <v>4.06350563638276</v>
      </c>
      <c r="C75" s="25">
        <v>386.539645856915</v>
      </c>
      <c r="D75" s="25">
        <v>0.172005860772473</v>
      </c>
      <c r="E75" s="25">
        <v>0.0529443079176292</v>
      </c>
      <c r="F75" s="25">
        <v>0.480094043291081</v>
      </c>
      <c r="G75" s="25">
        <v>4.93976307403348</v>
      </c>
      <c r="H75" s="25">
        <v>0.853837346822927</v>
      </c>
      <c r="I75" s="25">
        <v>16.0248353192863</v>
      </c>
      <c r="J75" s="25">
        <v>60.2326383976758</v>
      </c>
      <c r="L75" s="29"/>
      <c r="M75" s="30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>
      <c r="A76" s="25">
        <v>38.4064354898872</v>
      </c>
      <c r="B76" s="25">
        <v>8.04212806209282</v>
      </c>
      <c r="C76" s="25">
        <v>788.454141696305</v>
      </c>
      <c r="D76" s="25">
        <v>0.0555229634527234</v>
      </c>
      <c r="E76" s="25">
        <v>0.0773846840375461</v>
      </c>
      <c r="F76" s="25">
        <v>0.507612067337104</v>
      </c>
      <c r="G76" s="25">
        <v>5.62414576477141</v>
      </c>
      <c r="H76" s="25">
        <v>21.8020732807214</v>
      </c>
      <c r="I76" s="25">
        <v>72.8580015865083</v>
      </c>
      <c r="J76" s="25">
        <v>32.9782029324947</v>
      </c>
      <c r="L76" s="29"/>
      <c r="M76" s="30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>
      <c r="A77" s="25">
        <v>20.3302385687078</v>
      </c>
      <c r="B77" s="25">
        <v>9.85686593157406</v>
      </c>
      <c r="C77" s="25">
        <v>899.099365227357</v>
      </c>
      <c r="D77" s="25">
        <v>0.0920817655403728</v>
      </c>
      <c r="E77" s="25">
        <v>0.175169915088357</v>
      </c>
      <c r="F77" s="25">
        <v>0.837736229057567</v>
      </c>
      <c r="G77" s="25">
        <v>7.6685537392555</v>
      </c>
      <c r="H77" s="25">
        <v>18.1344291949726</v>
      </c>
      <c r="I77" s="25">
        <v>67.0838280794755</v>
      </c>
      <c r="J77" s="25">
        <v>18.0</v>
      </c>
      <c r="L77" s="29"/>
      <c r="M77" s="30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>
      <c r="A78" s="25">
        <v>85.056452349588</v>
      </c>
      <c r="B78" s="25">
        <v>1.9770236280033</v>
      </c>
      <c r="C78" s="25">
        <v>249.756998515762</v>
      </c>
      <c r="D78" s="25">
        <v>0.0859449853557022</v>
      </c>
      <c r="E78" s="25">
        <v>0.15190746107398</v>
      </c>
      <c r="F78" s="25">
        <v>0.3640842861267</v>
      </c>
      <c r="G78" s="25">
        <v>4.1432315153258</v>
      </c>
      <c r="H78" s="25">
        <v>3.85887417203423</v>
      </c>
      <c r="I78" s="25">
        <v>26.194843492688</v>
      </c>
      <c r="J78" s="25">
        <v>71.4724357803893</v>
      </c>
      <c r="L78" s="29"/>
      <c r="M78" s="30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>
      <c r="A79" s="25">
        <v>10.2981518496008</v>
      </c>
      <c r="B79" s="25">
        <v>17.4122528891777</v>
      </c>
      <c r="C79" s="25">
        <v>4558.57865089087</v>
      </c>
      <c r="D79" s="25">
        <v>0.219674269271087</v>
      </c>
      <c r="E79" s="25">
        <v>0.194759661001386</v>
      </c>
      <c r="F79" s="25">
        <v>0.131758590084098</v>
      </c>
      <c r="G79" s="25">
        <v>3.04955271531933</v>
      </c>
      <c r="H79" s="25">
        <v>22.3238239421971</v>
      </c>
      <c r="I79" s="25">
        <v>98.1739406563432</v>
      </c>
      <c r="J79" s="25">
        <v>36.5807968375392</v>
      </c>
      <c r="L79" s="29"/>
      <c r="M79" s="30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>
      <c r="A80" s="25">
        <v>71.1289130893789</v>
      </c>
      <c r="B80" s="25">
        <v>5.93243654573129</v>
      </c>
      <c r="C80" s="25">
        <v>1520.78914094957</v>
      </c>
      <c r="D80" s="25">
        <v>0.819791078346264</v>
      </c>
      <c r="E80" s="25">
        <v>0.684858199638555</v>
      </c>
      <c r="F80" s="25">
        <v>0.166127991616197</v>
      </c>
      <c r="G80" s="25">
        <v>3.67965269180567</v>
      </c>
      <c r="H80" s="25">
        <v>16.6966637856076</v>
      </c>
      <c r="I80" s="25">
        <v>66.274025856426</v>
      </c>
      <c r="J80" s="25">
        <v>34.2629999606142</v>
      </c>
      <c r="L80" s="29"/>
      <c r="M80" s="30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>
      <c r="A81" s="25">
        <v>9.87822703869508</v>
      </c>
      <c r="B81" s="25">
        <v>28.5690814344474</v>
      </c>
      <c r="C81" s="25">
        <v>5382.03453608056</v>
      </c>
      <c r="D81" s="25">
        <v>0.221816183483701</v>
      </c>
      <c r="E81" s="25">
        <v>0.15190017390841</v>
      </c>
      <c r="F81" s="25">
        <v>0.106001566335913</v>
      </c>
      <c r="G81" s="25">
        <v>2.61351797273041</v>
      </c>
      <c r="H81" s="25">
        <v>19.8860371740079</v>
      </c>
      <c r="I81" s="25">
        <v>82.4262346257665</v>
      </c>
      <c r="J81" s="25">
        <v>21.6513274089792</v>
      </c>
      <c r="L81" s="29"/>
      <c r="M81" s="30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>
      <c r="A82" s="25">
        <v>97.9844624521055</v>
      </c>
      <c r="B82" s="25">
        <v>3.97079390955411</v>
      </c>
      <c r="C82" s="25">
        <v>327.522030655093</v>
      </c>
      <c r="D82" s="25">
        <v>0.178699338164501</v>
      </c>
      <c r="E82" s="25">
        <v>0.0309693734799063</v>
      </c>
      <c r="F82" s="25">
        <v>0.153562511979017</v>
      </c>
      <c r="G82" s="25">
        <v>5.33667772783995</v>
      </c>
      <c r="H82" s="25">
        <v>4.57064745391823</v>
      </c>
      <c r="I82" s="25">
        <v>28.4714215316629</v>
      </c>
      <c r="J82" s="25">
        <v>61.7878101599174</v>
      </c>
      <c r="L82" s="29"/>
      <c r="M82" s="30"/>
      <c r="O82" s="27"/>
      <c r="P82" s="27"/>
      <c r="Q82" s="27"/>
      <c r="R82" s="27"/>
      <c r="S82" s="27"/>
      <c r="T82" s="27"/>
      <c r="U82" s="27"/>
      <c r="V82" s="27"/>
      <c r="W82" s="27"/>
      <c r="X82" s="27"/>
    </row>
    <row r="83">
      <c r="A83" s="25">
        <v>40.7868083343129</v>
      </c>
      <c r="B83" s="25">
        <v>9.88447459149787</v>
      </c>
      <c r="C83" s="25">
        <v>856.843175014795</v>
      </c>
      <c r="D83" s="25">
        <v>0.194182996874333</v>
      </c>
      <c r="E83" s="25">
        <v>0.132616143920671</v>
      </c>
      <c r="F83" s="25">
        <v>0.592360784301575</v>
      </c>
      <c r="G83" s="25">
        <v>10.2148105245888</v>
      </c>
      <c r="H83" s="25">
        <v>24.9004567707372</v>
      </c>
      <c r="I83" s="25">
        <v>58.7443729849047</v>
      </c>
      <c r="J83" s="25">
        <v>32.7706247340618</v>
      </c>
      <c r="L83" s="29"/>
      <c r="M83" s="30"/>
      <c r="O83" s="27"/>
      <c r="P83" s="27"/>
      <c r="Q83" s="27"/>
      <c r="R83" s="27"/>
      <c r="S83" s="27"/>
      <c r="T83" s="27"/>
      <c r="U83" s="27"/>
      <c r="V83" s="27"/>
      <c r="W83" s="27"/>
      <c r="X83" s="27"/>
    </row>
    <row r="84">
      <c r="A84" s="25">
        <v>47.410452794241</v>
      </c>
      <c r="B84" s="25">
        <v>8.78202129747172</v>
      </c>
      <c r="C84" s="25">
        <v>834.908453846374</v>
      </c>
      <c r="D84" s="25">
        <v>0.732837663206194</v>
      </c>
      <c r="E84" s="25">
        <v>0.747444592900855</v>
      </c>
      <c r="F84" s="25">
        <v>0.282091031348155</v>
      </c>
      <c r="G84" s="25">
        <v>4.54360015459443</v>
      </c>
      <c r="H84" s="25">
        <v>13.5175426716555</v>
      </c>
      <c r="I84" s="25">
        <v>69.2603845277801</v>
      </c>
      <c r="J84" s="25">
        <v>18.0</v>
      </c>
      <c r="L84" s="29"/>
      <c r="M84" s="30"/>
      <c r="O84" s="27"/>
      <c r="P84" s="27"/>
      <c r="Q84" s="27"/>
      <c r="R84" s="27"/>
      <c r="S84" s="27"/>
      <c r="T84" s="27"/>
      <c r="U84" s="27"/>
      <c r="V84" s="27"/>
      <c r="W84" s="27"/>
      <c r="X84" s="27"/>
    </row>
    <row r="85">
      <c r="A85" s="25">
        <v>15.7438285018605</v>
      </c>
      <c r="B85" s="25">
        <v>13.0411448848876</v>
      </c>
      <c r="C85" s="25">
        <v>3710.04724687749</v>
      </c>
      <c r="D85" s="25">
        <v>0.144016505268692</v>
      </c>
      <c r="E85" s="25">
        <v>0.0852659262139547</v>
      </c>
      <c r="F85" s="25">
        <v>0.158041339368925</v>
      </c>
      <c r="G85" s="25">
        <v>1.5322987986881</v>
      </c>
      <c r="H85" s="25">
        <v>26.7325194086535</v>
      </c>
      <c r="I85" s="25">
        <v>84.5307942112081</v>
      </c>
      <c r="J85" s="25">
        <v>38.8163266177849</v>
      </c>
      <c r="L85" s="29"/>
      <c r="M85" s="30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>
      <c r="A86" s="25">
        <v>41.1523283659038</v>
      </c>
      <c r="B86" s="25">
        <v>4.15102332743429</v>
      </c>
      <c r="C86" s="25">
        <v>1298.88004583414</v>
      </c>
      <c r="D86" s="25">
        <v>0.750624341683868</v>
      </c>
      <c r="E86" s="25">
        <v>0.594341810134024</v>
      </c>
      <c r="F86" s="25">
        <v>0.170031938732386</v>
      </c>
      <c r="G86" s="25">
        <v>5.50075979063431</v>
      </c>
      <c r="H86" s="25">
        <v>18.4008869684539</v>
      </c>
      <c r="I86" s="25">
        <v>55.8161743871056</v>
      </c>
      <c r="J86" s="25">
        <v>36.5074229568157</v>
      </c>
      <c r="L86" s="29"/>
      <c r="M86" s="30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>
      <c r="A87" s="25">
        <v>35.1754742317392</v>
      </c>
      <c r="B87" s="25">
        <v>14.2302439506825</v>
      </c>
      <c r="C87" s="25">
        <v>1114.58063566946</v>
      </c>
      <c r="D87" s="25">
        <v>0.843004164719107</v>
      </c>
      <c r="E87" s="25">
        <v>0.853028345403184</v>
      </c>
      <c r="F87" s="25">
        <v>0.216715241131855</v>
      </c>
      <c r="G87" s="25">
        <v>3.74095785417929</v>
      </c>
      <c r="H87" s="25">
        <v>14.21460060366</v>
      </c>
      <c r="I87" s="25">
        <v>59.1407848870312</v>
      </c>
      <c r="J87" s="25">
        <v>39.6277776349015</v>
      </c>
      <c r="L87" s="29"/>
      <c r="M87" s="30"/>
      <c r="O87" s="27"/>
      <c r="P87" s="27"/>
      <c r="Q87" s="27"/>
      <c r="R87" s="27"/>
      <c r="S87" s="27"/>
      <c r="T87" s="27"/>
      <c r="U87" s="27"/>
      <c r="V87" s="27"/>
      <c r="W87" s="27"/>
      <c r="X87" s="27"/>
    </row>
    <row r="88">
      <c r="A88" s="25">
        <v>37.2762954363698</v>
      </c>
      <c r="B88" s="25">
        <v>10.1558376574218</v>
      </c>
      <c r="C88" s="25">
        <v>1083.16001930389</v>
      </c>
      <c r="D88" s="25">
        <v>0.14596417099457</v>
      </c>
      <c r="E88" s="25">
        <v>0.103931759515804</v>
      </c>
      <c r="F88" s="25">
        <v>0.550179931546789</v>
      </c>
      <c r="G88" s="25">
        <v>9.37449151205372</v>
      </c>
      <c r="H88" s="25">
        <v>19.7324423794899</v>
      </c>
      <c r="I88" s="25">
        <v>74.9801010985965</v>
      </c>
      <c r="J88" s="25">
        <v>18.0</v>
      </c>
      <c r="L88" s="29"/>
      <c r="M88" s="30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>
      <c r="A89" s="25">
        <v>50.8837470478072</v>
      </c>
      <c r="B89" s="25">
        <v>9.58123111553447</v>
      </c>
      <c r="C89" s="25">
        <v>1177.04570418437</v>
      </c>
      <c r="D89" s="25">
        <v>0.0980047036437234</v>
      </c>
      <c r="E89" s="25">
        <v>0.130638695253128</v>
      </c>
      <c r="F89" s="25">
        <v>0.644658443682634</v>
      </c>
      <c r="G89" s="25">
        <v>7.06434655895629</v>
      </c>
      <c r="H89" s="25">
        <v>27.5701567693339</v>
      </c>
      <c r="I89" s="25">
        <v>63.0931759923665</v>
      </c>
      <c r="J89" s="25">
        <v>31.522030112258</v>
      </c>
      <c r="L89" s="29"/>
      <c r="M89" s="30"/>
      <c r="O89" s="27"/>
      <c r="P89" s="27"/>
      <c r="Q89" s="27"/>
      <c r="R89" s="27"/>
      <c r="S89" s="27"/>
      <c r="T89" s="27"/>
      <c r="U89" s="27"/>
      <c r="V89" s="27"/>
      <c r="W89" s="27"/>
      <c r="X89" s="27"/>
    </row>
    <row r="90">
      <c r="A90" s="25">
        <v>107.401354613775</v>
      </c>
      <c r="B90" s="25">
        <v>3.7435228319589</v>
      </c>
      <c r="C90" s="25">
        <v>422.562835771536</v>
      </c>
      <c r="D90" s="25">
        <v>0.118248050123311</v>
      </c>
      <c r="E90" s="25">
        <v>0.176136623409531</v>
      </c>
      <c r="F90" s="25">
        <v>0.294238120296641</v>
      </c>
      <c r="G90" s="25">
        <v>5.30164857007245</v>
      </c>
      <c r="H90" s="25">
        <v>4.57598159401141</v>
      </c>
      <c r="I90" s="25">
        <v>23.8442074636638</v>
      </c>
      <c r="J90" s="25">
        <v>73.3092121389226</v>
      </c>
      <c r="L90" s="29"/>
      <c r="M90" s="30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>
      <c r="A91" s="25">
        <v>49.5809533304377</v>
      </c>
      <c r="B91" s="25">
        <v>4.57098526180854</v>
      </c>
      <c r="C91" s="25">
        <v>1490.02945969032</v>
      </c>
      <c r="D91" s="25">
        <v>0.685365460698131</v>
      </c>
      <c r="E91" s="25">
        <v>0.780263546523903</v>
      </c>
      <c r="F91" s="25">
        <v>0.147200690498644</v>
      </c>
      <c r="G91" s="25">
        <v>3.935861653407</v>
      </c>
      <c r="H91" s="25">
        <v>16.3150496412139</v>
      </c>
      <c r="I91" s="25">
        <v>63.8562865854032</v>
      </c>
      <c r="J91" s="25">
        <v>44.2192075423528</v>
      </c>
      <c r="L91" s="29"/>
      <c r="M91" s="30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>
      <c r="A92" s="25">
        <v>18.0685563452932</v>
      </c>
      <c r="B92" s="25">
        <v>21.8141372060559</v>
      </c>
      <c r="C92" s="25">
        <v>3804.67469176748</v>
      </c>
      <c r="D92" s="25">
        <v>0.248204358414417</v>
      </c>
      <c r="E92" s="25">
        <v>0.209473524446232</v>
      </c>
      <c r="F92" s="25">
        <v>0.0386196092431503</v>
      </c>
      <c r="G92" s="25">
        <v>2.59740006984985</v>
      </c>
      <c r="H92" s="25">
        <v>28.5058637115544</v>
      </c>
      <c r="I92" s="25">
        <v>82.0243649664</v>
      </c>
      <c r="J92" s="25">
        <v>46.0056545064929</v>
      </c>
      <c r="L92" s="29"/>
      <c r="M92" s="30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>
      <c r="A93" s="25">
        <v>28.4994441296747</v>
      </c>
      <c r="B93" s="25">
        <v>10.3767293604146</v>
      </c>
      <c r="C93" s="25">
        <v>856.732043929032</v>
      </c>
      <c r="D93" s="25">
        <v>0.150778952379073</v>
      </c>
      <c r="E93" s="25">
        <v>0.0451862456552399</v>
      </c>
      <c r="F93" s="25">
        <v>0.60599491174057</v>
      </c>
      <c r="G93" s="25">
        <v>10.3917575948374</v>
      </c>
      <c r="H93" s="25">
        <v>13.7651932584083</v>
      </c>
      <c r="I93" s="25">
        <v>55.0860765054369</v>
      </c>
      <c r="J93" s="25">
        <v>18.0</v>
      </c>
      <c r="L93" s="29"/>
      <c r="M93" s="30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>
      <c r="A94" s="25">
        <v>77.2207650462099</v>
      </c>
      <c r="B94" s="25">
        <v>1.01536530988875</v>
      </c>
      <c r="C94" s="25">
        <v>646.302274020455</v>
      </c>
      <c r="D94" s="25">
        <v>0.150490854467131</v>
      </c>
      <c r="E94" s="25">
        <v>0.052473986192891</v>
      </c>
      <c r="F94" s="25">
        <v>0.52524358053443</v>
      </c>
      <c r="G94" s="25">
        <v>6.47264823048739</v>
      </c>
      <c r="H94" s="25">
        <v>2.51275292473706</v>
      </c>
      <c r="I94" s="25">
        <v>0.0</v>
      </c>
      <c r="J94" s="25">
        <v>81.0365980081352</v>
      </c>
      <c r="L94" s="29"/>
      <c r="M94" s="30"/>
      <c r="O94" s="27"/>
      <c r="P94" s="27"/>
      <c r="Q94" s="27"/>
      <c r="R94" s="27"/>
      <c r="S94" s="27"/>
      <c r="T94" s="27"/>
      <c r="U94" s="27"/>
      <c r="V94" s="27"/>
      <c r="W94" s="27"/>
      <c r="X94" s="27"/>
    </row>
    <row r="95">
      <c r="A95" s="25">
        <v>16.104275332364</v>
      </c>
      <c r="B95" s="25">
        <v>5.06380375912932</v>
      </c>
      <c r="C95" s="25">
        <v>1155.64260800241</v>
      </c>
      <c r="D95" s="25">
        <v>0.271987620316963</v>
      </c>
      <c r="E95" s="25">
        <v>0.169213640925525</v>
      </c>
      <c r="F95" s="25">
        <v>0.806390912005235</v>
      </c>
      <c r="G95" s="25">
        <v>8.89213151249793</v>
      </c>
      <c r="H95" s="25">
        <v>22.2670777939015</v>
      </c>
      <c r="I95" s="25">
        <v>72.5892858978676</v>
      </c>
      <c r="J95" s="25">
        <v>31.9683399677856</v>
      </c>
      <c r="L95" s="29"/>
      <c r="M95" s="30"/>
      <c r="O95" s="27"/>
      <c r="P95" s="27"/>
      <c r="Q95" s="27"/>
      <c r="R95" s="27"/>
      <c r="S95" s="27"/>
      <c r="T95" s="27"/>
      <c r="U95" s="27"/>
      <c r="V95" s="27"/>
      <c r="W95" s="27"/>
      <c r="X95" s="27"/>
    </row>
    <row r="96">
      <c r="A96" s="25">
        <v>92.0840220790375</v>
      </c>
      <c r="B96" s="25">
        <v>2.90611030815071</v>
      </c>
      <c r="C96" s="25">
        <v>286.905311669998</v>
      </c>
      <c r="D96" s="25">
        <v>0.0859662461566613</v>
      </c>
      <c r="E96" s="25">
        <v>0.0122817274321845</v>
      </c>
      <c r="F96" s="25">
        <v>0.290166037320525</v>
      </c>
      <c r="G96" s="25">
        <v>3.51711333927362</v>
      </c>
      <c r="H96" s="25">
        <v>1.34461602417634</v>
      </c>
      <c r="I96" s="25">
        <v>16.4391532092278</v>
      </c>
      <c r="J96" s="25">
        <v>74.7440160044122</v>
      </c>
      <c r="L96" s="29"/>
      <c r="M96" s="30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>
      <c r="A97" s="25">
        <v>53.7747490900346</v>
      </c>
      <c r="B97" s="25">
        <v>3.28849818913046</v>
      </c>
      <c r="C97" s="25">
        <v>703.111559028898</v>
      </c>
      <c r="D97" s="25">
        <v>0.894077118798821</v>
      </c>
      <c r="E97" s="25">
        <v>0.651751260646169</v>
      </c>
      <c r="F97" s="25">
        <v>0.184275679500208</v>
      </c>
      <c r="G97" s="25">
        <v>4.55005209902455</v>
      </c>
      <c r="H97" s="25">
        <v>11.1266221805454</v>
      </c>
      <c r="I97" s="25">
        <v>61.2645060737515</v>
      </c>
      <c r="J97" s="25">
        <v>26.6597450508179</v>
      </c>
      <c r="L97" s="29"/>
      <c r="M97" s="30"/>
      <c r="O97" s="27"/>
      <c r="P97" s="27"/>
      <c r="Q97" s="27"/>
      <c r="R97" s="27"/>
      <c r="S97" s="27"/>
      <c r="T97" s="27"/>
      <c r="U97" s="27"/>
      <c r="V97" s="27"/>
      <c r="W97" s="27"/>
      <c r="X97" s="27"/>
    </row>
    <row r="98">
      <c r="A98" s="25">
        <v>23.9863235604878</v>
      </c>
      <c r="B98" s="25">
        <v>10.9593458024276</v>
      </c>
      <c r="C98" s="25">
        <v>501.751566617082</v>
      </c>
      <c r="D98" s="25">
        <v>0.172023736898019</v>
      </c>
      <c r="E98" s="25">
        <v>0.0990181100536659</v>
      </c>
      <c r="F98" s="25">
        <v>0.805248995441714</v>
      </c>
      <c r="G98" s="25">
        <v>8.33587120109699</v>
      </c>
      <c r="H98" s="25">
        <v>24.8207021498692</v>
      </c>
      <c r="I98" s="25">
        <v>66.252245026479</v>
      </c>
      <c r="J98" s="25">
        <v>26.9941612121232</v>
      </c>
      <c r="L98" s="29"/>
      <c r="M98" s="30"/>
      <c r="O98" s="27"/>
      <c r="P98" s="27"/>
      <c r="Q98" s="27"/>
      <c r="R98" s="27"/>
      <c r="S98" s="27"/>
      <c r="T98" s="27"/>
      <c r="U98" s="27"/>
      <c r="V98" s="27"/>
      <c r="W98" s="27"/>
      <c r="X98" s="27"/>
    </row>
    <row r="99">
      <c r="A99" s="25">
        <v>41.8344625454842</v>
      </c>
      <c r="B99" s="25">
        <v>9.62989408710916</v>
      </c>
      <c r="C99" s="25">
        <v>1014.65802109771</v>
      </c>
      <c r="D99" s="25">
        <v>0.804059169120388</v>
      </c>
      <c r="E99" s="25">
        <v>0.679800831219324</v>
      </c>
      <c r="F99" s="25">
        <v>0.153596935771433</v>
      </c>
      <c r="G99" s="25">
        <v>2.5973947282003</v>
      </c>
      <c r="H99" s="25">
        <v>21.9983069727477</v>
      </c>
      <c r="I99" s="25">
        <v>45.0736411753045</v>
      </c>
      <c r="J99" s="25">
        <v>33.0709480220409</v>
      </c>
      <c r="L99" s="29"/>
      <c r="M99" s="30"/>
      <c r="O99" s="27"/>
      <c r="P99" s="27"/>
      <c r="Q99" s="27"/>
      <c r="R99" s="27"/>
      <c r="S99" s="27"/>
      <c r="T99" s="27"/>
      <c r="U99" s="27"/>
      <c r="V99" s="27"/>
      <c r="W99" s="27"/>
      <c r="X99" s="27"/>
    </row>
    <row r="100">
      <c r="A100" s="25">
        <v>6.40796367215401</v>
      </c>
      <c r="B100" s="25">
        <v>23.5796975077777</v>
      </c>
      <c r="C100" s="25">
        <v>3764.04025736637</v>
      </c>
      <c r="D100" s="25">
        <v>0.262387103633686</v>
      </c>
      <c r="E100" s="25">
        <v>0.116325468787806</v>
      </c>
      <c r="F100" s="25">
        <v>0.11394970811119</v>
      </c>
      <c r="G100" s="25">
        <v>1.16465294674024</v>
      </c>
      <c r="H100" s="25">
        <v>35.7257456388669</v>
      </c>
      <c r="I100" s="25">
        <v>73.1240158097048</v>
      </c>
      <c r="J100" s="25">
        <v>37.4785656818162</v>
      </c>
      <c r="L100" s="29"/>
      <c r="M100" s="30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>
      <c r="A101" s="25">
        <v>13.1688844046604</v>
      </c>
      <c r="B101" s="25">
        <v>21.6551963898059</v>
      </c>
      <c r="C101" s="25">
        <v>3851.76987289783</v>
      </c>
      <c r="D101" s="25">
        <v>0.193508965013328</v>
      </c>
      <c r="E101" s="25">
        <v>0.152190573598955</v>
      </c>
      <c r="F101" s="25">
        <v>0.0926498999185755</v>
      </c>
      <c r="G101" s="25">
        <v>2.9638791167949</v>
      </c>
      <c r="H101" s="25">
        <v>36.0526150079567</v>
      </c>
      <c r="I101" s="25">
        <v>79.4250821499216</v>
      </c>
      <c r="J101" s="25">
        <v>24.0415761633673</v>
      </c>
      <c r="L101" s="29"/>
      <c r="M101" s="30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>
      <c r="A102" s="25">
        <v>9.55858975824372</v>
      </c>
      <c r="B102" s="25">
        <v>30.3188373506172</v>
      </c>
      <c r="C102" s="25">
        <v>3357.06034562421</v>
      </c>
      <c r="D102" s="25">
        <v>0.281955840272203</v>
      </c>
      <c r="E102" s="25">
        <v>0.233885040703822</v>
      </c>
      <c r="F102" s="25">
        <v>0.0723205879146002</v>
      </c>
      <c r="G102" s="25">
        <v>2.56898307918527</v>
      </c>
      <c r="H102" s="25">
        <v>33.1419831156426</v>
      </c>
      <c r="I102" s="25">
        <v>81.2087225901251</v>
      </c>
      <c r="J102" s="25">
        <v>33.3713571191811</v>
      </c>
      <c r="L102" s="29"/>
      <c r="M102" s="30"/>
      <c r="O102" s="27"/>
      <c r="P102" s="27"/>
      <c r="Q102" s="27"/>
      <c r="R102" s="27"/>
      <c r="S102" s="27"/>
      <c r="T102" s="27"/>
      <c r="U102" s="27"/>
      <c r="V102" s="27"/>
      <c r="W102" s="27"/>
      <c r="X102" s="27"/>
    </row>
    <row r="103">
      <c r="A103" s="25">
        <v>24.1831908605135</v>
      </c>
      <c r="B103" s="25">
        <v>6.95572980792139</v>
      </c>
      <c r="C103" s="25">
        <v>737.680613733498</v>
      </c>
      <c r="D103" s="25">
        <v>0.0888029866618871</v>
      </c>
      <c r="E103" s="25">
        <v>0.101704173412961</v>
      </c>
      <c r="F103" s="25">
        <v>0.673002676894135</v>
      </c>
      <c r="G103" s="25">
        <v>8.35067886768612</v>
      </c>
      <c r="H103" s="25">
        <v>10.2205217689818</v>
      </c>
      <c r="I103" s="25">
        <v>68.3088023221445</v>
      </c>
      <c r="J103" s="25">
        <v>35.8347027312624</v>
      </c>
      <c r="L103" s="29"/>
      <c r="M103" s="30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>
      <c r="A104" s="25">
        <v>10.0939653614281</v>
      </c>
      <c r="B104" s="25">
        <v>9.12216970954271</v>
      </c>
      <c r="C104" s="25">
        <v>1368.30069774198</v>
      </c>
      <c r="D104" s="25">
        <v>0.679035898130879</v>
      </c>
      <c r="E104" s="25">
        <v>0.91725723868377</v>
      </c>
      <c r="F104" s="25">
        <v>0.229331330655623</v>
      </c>
      <c r="G104" s="25">
        <v>3.29498814424159</v>
      </c>
      <c r="H104" s="25">
        <v>14.7769236893691</v>
      </c>
      <c r="I104" s="25">
        <v>66.6999229502606</v>
      </c>
      <c r="J104" s="25">
        <v>40.7600539141241</v>
      </c>
      <c r="L104" s="29"/>
      <c r="M104" s="30"/>
      <c r="O104" s="27"/>
      <c r="P104" s="27"/>
      <c r="Q104" s="27"/>
      <c r="R104" s="27"/>
      <c r="S104" s="27"/>
      <c r="T104" s="27"/>
      <c r="U104" s="27"/>
      <c r="V104" s="27"/>
      <c r="W104" s="27"/>
      <c r="X104" s="27"/>
    </row>
    <row r="105">
      <c r="A105" s="25">
        <v>35.3875599244636</v>
      </c>
      <c r="B105" s="25">
        <v>7.2379792207619</v>
      </c>
      <c r="C105" s="25">
        <v>942.340206009019</v>
      </c>
      <c r="D105" s="25">
        <v>0.0793142751547509</v>
      </c>
      <c r="E105" s="25">
        <v>0.0944386969325649</v>
      </c>
      <c r="F105" s="25">
        <v>0.659609235853521</v>
      </c>
      <c r="G105" s="25">
        <v>6.89670508611535</v>
      </c>
      <c r="H105" s="25">
        <v>24.1804658760521</v>
      </c>
      <c r="I105" s="25">
        <v>75.9131012059427</v>
      </c>
      <c r="J105" s="25">
        <v>34.2639668463502</v>
      </c>
      <c r="L105" s="29"/>
      <c r="M105" s="30"/>
      <c r="O105" s="27"/>
      <c r="P105" s="27"/>
      <c r="Q105" s="27"/>
      <c r="R105" s="27"/>
      <c r="S105" s="27"/>
      <c r="T105" s="27"/>
      <c r="U105" s="27"/>
      <c r="V105" s="27"/>
      <c r="W105" s="27"/>
      <c r="X105" s="27"/>
    </row>
    <row r="106">
      <c r="A106" s="25">
        <v>68.1537447065484</v>
      </c>
      <c r="B106" s="25">
        <v>2.52538732545779</v>
      </c>
      <c r="C106" s="25">
        <v>581.964654996877</v>
      </c>
      <c r="D106" s="25">
        <v>0.107085845681995</v>
      </c>
      <c r="E106" s="25">
        <v>0.172773181599267</v>
      </c>
      <c r="F106" s="25">
        <v>0.339331783939437</v>
      </c>
      <c r="G106" s="25">
        <v>5.28807367473504</v>
      </c>
      <c r="H106" s="25">
        <v>2.53632530369624</v>
      </c>
      <c r="I106" s="25">
        <v>16.0683272382582</v>
      </c>
      <c r="J106" s="25">
        <v>63.9327111453361</v>
      </c>
      <c r="L106" s="29"/>
      <c r="M106" s="30"/>
      <c r="O106" s="27"/>
      <c r="P106" s="27"/>
      <c r="Q106" s="27"/>
      <c r="R106" s="27"/>
      <c r="S106" s="27"/>
      <c r="T106" s="27"/>
      <c r="U106" s="27"/>
      <c r="V106" s="27"/>
      <c r="W106" s="27"/>
      <c r="X106" s="27"/>
    </row>
    <row r="107">
      <c r="A107" s="25">
        <v>13.5405433834429</v>
      </c>
      <c r="B107" s="25">
        <v>23.8268092671783</v>
      </c>
      <c r="C107" s="25">
        <v>3371.20843159364</v>
      </c>
      <c r="D107" s="25">
        <v>0.133438352322111</v>
      </c>
      <c r="E107" s="25">
        <v>0.0581897313448351</v>
      </c>
      <c r="F107" s="25">
        <v>0.125399566345627</v>
      </c>
      <c r="G107" s="25">
        <v>0.896633393826126</v>
      </c>
      <c r="H107" s="25">
        <v>14.2355470352375</v>
      </c>
      <c r="I107" s="25">
        <v>88.8857860453096</v>
      </c>
      <c r="J107" s="25">
        <v>54.9439961394623</v>
      </c>
      <c r="L107" s="29"/>
      <c r="M107" s="30"/>
      <c r="O107" s="27"/>
      <c r="P107" s="27"/>
      <c r="Q107" s="27"/>
      <c r="R107" s="27"/>
      <c r="S107" s="27"/>
      <c r="T107" s="27"/>
      <c r="U107" s="27"/>
      <c r="V107" s="27"/>
      <c r="W107" s="27"/>
      <c r="X107" s="27"/>
    </row>
    <row r="108">
      <c r="A108" s="25">
        <v>39.9089363269016</v>
      </c>
      <c r="B108" s="25">
        <v>10.5154723233549</v>
      </c>
      <c r="C108" s="25">
        <v>1024.54880756426</v>
      </c>
      <c r="D108" s="25">
        <v>0.790111034680885</v>
      </c>
      <c r="E108" s="25">
        <v>0.841907648298776</v>
      </c>
      <c r="F108" s="25">
        <v>0.179680781906794</v>
      </c>
      <c r="G108" s="25">
        <v>4.2673923140719</v>
      </c>
      <c r="H108" s="25">
        <v>16.286791224784</v>
      </c>
      <c r="I108" s="25">
        <v>51.9829145562834</v>
      </c>
      <c r="J108" s="25">
        <v>49.9204234953652</v>
      </c>
      <c r="L108" s="29"/>
      <c r="M108" s="30"/>
      <c r="O108" s="27"/>
      <c r="P108" s="27"/>
      <c r="Q108" s="27"/>
      <c r="R108" s="27"/>
      <c r="S108" s="27"/>
      <c r="T108" s="27"/>
      <c r="U108" s="27"/>
      <c r="V108" s="27"/>
      <c r="W108" s="27"/>
      <c r="X108" s="27"/>
    </row>
    <row r="109">
      <c r="A109" s="25">
        <v>86.5008048660918</v>
      </c>
      <c r="B109" s="25">
        <v>1.86638226076073</v>
      </c>
      <c r="C109" s="25">
        <v>480.47647653556</v>
      </c>
      <c r="D109" s="25">
        <v>0.0550766009104481</v>
      </c>
      <c r="E109" s="25">
        <v>0.0811272462947651</v>
      </c>
      <c r="F109" s="25">
        <v>0.299088100335579</v>
      </c>
      <c r="G109" s="25">
        <v>6.62884334874736</v>
      </c>
      <c r="H109" s="25">
        <v>3.71204734931992</v>
      </c>
      <c r="I109" s="25">
        <v>14.7997843300388</v>
      </c>
      <c r="J109" s="25">
        <v>70.724364094402</v>
      </c>
      <c r="L109" s="29"/>
      <c r="M109" s="30"/>
      <c r="O109" s="27"/>
      <c r="P109" s="27"/>
      <c r="Q109" s="27"/>
      <c r="R109" s="27"/>
      <c r="S109" s="27"/>
      <c r="T109" s="27"/>
      <c r="U109" s="27"/>
      <c r="V109" s="27"/>
      <c r="W109" s="27"/>
      <c r="X109" s="27"/>
    </row>
    <row r="110">
      <c r="A110" s="25">
        <v>16.9510377450865</v>
      </c>
      <c r="B110" s="25">
        <v>22.2312412254074</v>
      </c>
      <c r="C110" s="25">
        <v>4008.2820958747</v>
      </c>
      <c r="D110" s="25">
        <v>0.134408188382492</v>
      </c>
      <c r="E110" s="25">
        <v>0.0967443168462313</v>
      </c>
      <c r="F110" s="25">
        <v>0.0847387647822666</v>
      </c>
      <c r="G110" s="25">
        <v>1.39048779784071</v>
      </c>
      <c r="H110" s="25">
        <v>24.0651434850727</v>
      </c>
      <c r="I110" s="25">
        <v>85.566499248971</v>
      </c>
      <c r="J110" s="25">
        <v>39.2375420348538</v>
      </c>
      <c r="L110" s="29"/>
      <c r="M110" s="30"/>
      <c r="O110" s="27"/>
      <c r="P110" s="27"/>
      <c r="Q110" s="27"/>
      <c r="R110" s="27"/>
      <c r="S110" s="27"/>
      <c r="T110" s="27"/>
      <c r="U110" s="27"/>
      <c r="V110" s="27"/>
      <c r="W110" s="27"/>
      <c r="X110" s="27"/>
    </row>
    <row r="111">
      <c r="A111" s="25">
        <v>9.64750610970454</v>
      </c>
      <c r="B111" s="25">
        <v>21.9460065753048</v>
      </c>
      <c r="C111" s="25">
        <v>4051.57953184809</v>
      </c>
      <c r="D111" s="25">
        <v>0.101226671682306</v>
      </c>
      <c r="E111" s="25">
        <v>0.103033230309062</v>
      </c>
      <c r="F111" s="25">
        <v>0.0927956222139192</v>
      </c>
      <c r="G111" s="25">
        <v>0.790305257158892</v>
      </c>
      <c r="H111" s="25">
        <v>27.999643649981</v>
      </c>
      <c r="I111" s="25">
        <v>100.307508323436</v>
      </c>
      <c r="J111" s="25">
        <v>44.7500948135785</v>
      </c>
      <c r="L111" s="29"/>
      <c r="M111" s="30"/>
      <c r="O111" s="27"/>
      <c r="P111" s="27"/>
      <c r="Q111" s="27"/>
      <c r="R111" s="27"/>
      <c r="S111" s="27"/>
      <c r="T111" s="27"/>
      <c r="U111" s="27"/>
      <c r="V111" s="27"/>
      <c r="W111" s="27"/>
      <c r="X111" s="27"/>
    </row>
    <row r="112">
      <c r="A112" s="25">
        <v>36.7983569360468</v>
      </c>
      <c r="B112" s="25">
        <v>12.4721784105498</v>
      </c>
      <c r="C112" s="25">
        <v>1044.60023716063</v>
      </c>
      <c r="D112" s="25">
        <v>0.766291402888196</v>
      </c>
      <c r="E112" s="25">
        <v>0.688659733645906</v>
      </c>
      <c r="F112" s="25">
        <v>0.178827121945831</v>
      </c>
      <c r="G112" s="25">
        <v>3.61182318145877</v>
      </c>
      <c r="H112" s="25">
        <v>15.6816648895019</v>
      </c>
      <c r="I112" s="25">
        <v>61.9268877725983</v>
      </c>
      <c r="J112" s="25">
        <v>40.0304602015341</v>
      </c>
      <c r="L112" s="29"/>
      <c r="M112" s="30"/>
      <c r="O112" s="27"/>
      <c r="P112" s="27"/>
      <c r="Q112" s="27"/>
      <c r="R112" s="27"/>
      <c r="S112" s="27"/>
      <c r="T112" s="27"/>
      <c r="U112" s="27"/>
      <c r="V112" s="27"/>
      <c r="W112" s="27"/>
      <c r="X112" s="27"/>
    </row>
    <row r="113">
      <c r="A113" s="25">
        <v>12.1846908487317</v>
      </c>
      <c r="B113" s="25">
        <v>24.7625850991453</v>
      </c>
      <c r="C113" s="25">
        <v>4759.64330835305</v>
      </c>
      <c r="D113" s="25">
        <v>0.125755101577504</v>
      </c>
      <c r="E113" s="25">
        <v>0.0223039432549022</v>
      </c>
      <c r="F113" s="25">
        <v>0.146715995561963</v>
      </c>
      <c r="G113" s="25">
        <v>0.633121301584578</v>
      </c>
      <c r="H113" s="25">
        <v>23.8761729905365</v>
      </c>
      <c r="I113" s="25">
        <v>73.2988697394064</v>
      </c>
      <c r="J113" s="25">
        <v>20.5841564993598</v>
      </c>
      <c r="L113" s="29"/>
      <c r="M113" s="30"/>
      <c r="O113" s="27"/>
      <c r="P113" s="27"/>
      <c r="Q113" s="27"/>
      <c r="R113" s="27"/>
      <c r="S113" s="27"/>
      <c r="T113" s="27"/>
      <c r="U113" s="27"/>
      <c r="V113" s="27"/>
      <c r="W113" s="27"/>
      <c r="X113" s="27"/>
    </row>
    <row r="114">
      <c r="A114" s="25">
        <v>100.829254564095</v>
      </c>
      <c r="B114" s="25">
        <v>4.13873274045397</v>
      </c>
      <c r="C114" s="25">
        <v>313.523439890992</v>
      </c>
      <c r="D114" s="25">
        <v>0.0</v>
      </c>
      <c r="E114" s="25">
        <v>0.0581502220699006</v>
      </c>
      <c r="F114" s="25">
        <v>0.339180400540254</v>
      </c>
      <c r="G114" s="25">
        <v>2.7816326468388</v>
      </c>
      <c r="H114" s="25">
        <v>3.27503987966873</v>
      </c>
      <c r="I114" s="25">
        <v>14.877521206616</v>
      </c>
      <c r="J114" s="25">
        <v>69.0550404972076</v>
      </c>
      <c r="L114" s="29"/>
      <c r="M114" s="30"/>
      <c r="O114" s="27"/>
      <c r="P114" s="27"/>
      <c r="Q114" s="27"/>
      <c r="R114" s="27"/>
      <c r="S114" s="27"/>
      <c r="T114" s="27"/>
      <c r="U114" s="27"/>
      <c r="V114" s="27"/>
      <c r="W114" s="27"/>
      <c r="X114" s="27"/>
    </row>
    <row r="115">
      <c r="A115" s="25">
        <v>92.391607368283</v>
      </c>
      <c r="B115" s="25">
        <v>1.54039658867766</v>
      </c>
      <c r="C115" s="25">
        <v>579.485725249673</v>
      </c>
      <c r="D115" s="25">
        <v>0.0920735213486515</v>
      </c>
      <c r="E115" s="25">
        <v>0.0789078184196027</v>
      </c>
      <c r="F115" s="25">
        <v>0.20667320409268</v>
      </c>
      <c r="G115" s="25">
        <v>4.33507662321273</v>
      </c>
      <c r="H115" s="25">
        <v>1.67279592895964</v>
      </c>
      <c r="I115" s="25">
        <v>13.6164315206126</v>
      </c>
      <c r="J115" s="25">
        <v>76.9819593609964</v>
      </c>
      <c r="L115" s="29"/>
      <c r="M115" s="30"/>
      <c r="O115" s="27"/>
      <c r="P115" s="27"/>
      <c r="Q115" s="27"/>
      <c r="R115" s="27"/>
      <c r="S115" s="27"/>
      <c r="T115" s="27"/>
      <c r="U115" s="27"/>
      <c r="V115" s="27"/>
      <c r="W115" s="27"/>
      <c r="X115" s="27"/>
    </row>
    <row r="116">
      <c r="A116" s="25">
        <v>16.2809885706864</v>
      </c>
      <c r="B116" s="25">
        <v>5.15931580636977</v>
      </c>
      <c r="C116" s="25">
        <v>1267.7925818734</v>
      </c>
      <c r="D116" s="25">
        <v>0.139533816142406</v>
      </c>
      <c r="E116" s="25">
        <v>0.0665463630670041</v>
      </c>
      <c r="F116" s="25">
        <v>0.853990468739607</v>
      </c>
      <c r="G116" s="25">
        <v>7.0915766903947</v>
      </c>
      <c r="H116" s="25">
        <v>27.1300485677346</v>
      </c>
      <c r="I116" s="25">
        <v>71.7792587133927</v>
      </c>
      <c r="J116" s="25">
        <v>26.58462014298</v>
      </c>
      <c r="L116" s="29"/>
      <c r="M116" s="30"/>
      <c r="O116" s="27"/>
      <c r="P116" s="27"/>
      <c r="Q116" s="27"/>
      <c r="R116" s="27"/>
      <c r="S116" s="27"/>
      <c r="T116" s="27"/>
      <c r="U116" s="27"/>
      <c r="V116" s="27"/>
      <c r="W116" s="27"/>
      <c r="X116" s="27"/>
    </row>
    <row r="117">
      <c r="A117" s="25">
        <v>133.14616426531</v>
      </c>
      <c r="B117" s="25">
        <v>2.09142761549499</v>
      </c>
      <c r="C117" s="25">
        <v>511.314305801396</v>
      </c>
      <c r="D117" s="25">
        <v>0.114964629020324</v>
      </c>
      <c r="E117" s="25">
        <v>0.132069651575951</v>
      </c>
      <c r="F117" s="25">
        <v>0.456151119672685</v>
      </c>
      <c r="G117" s="25">
        <v>5.04800622359865</v>
      </c>
      <c r="H117" s="25">
        <v>1.86987319448072</v>
      </c>
      <c r="I117" s="25">
        <v>18.6797771435129</v>
      </c>
      <c r="J117" s="25">
        <v>60.2559924117352</v>
      </c>
      <c r="L117" s="29"/>
      <c r="M117" s="30"/>
      <c r="O117" s="27"/>
      <c r="P117" s="27"/>
      <c r="Q117" s="27"/>
      <c r="R117" s="27"/>
      <c r="S117" s="27"/>
      <c r="T117" s="27"/>
      <c r="U117" s="27"/>
      <c r="V117" s="27"/>
      <c r="W117" s="27"/>
      <c r="X117" s="27"/>
    </row>
    <row r="118">
      <c r="A118" s="25">
        <v>130.267744950532</v>
      </c>
      <c r="B118" s="25">
        <v>3.2048029966241</v>
      </c>
      <c r="C118" s="25">
        <v>345.201767303183</v>
      </c>
      <c r="D118" s="25">
        <v>0.109234015293245</v>
      </c>
      <c r="E118" s="25">
        <v>0.0261149484188121</v>
      </c>
      <c r="F118" s="25">
        <v>0.202838596148934</v>
      </c>
      <c r="G118" s="25">
        <v>6.80062086191663</v>
      </c>
      <c r="H118" s="25">
        <v>2.0146585815429</v>
      </c>
      <c r="I118" s="25">
        <v>6.62471213854448</v>
      </c>
      <c r="J118" s="25">
        <v>68.756569267691</v>
      </c>
      <c r="L118" s="29"/>
      <c r="M118" s="30"/>
      <c r="O118" s="27"/>
      <c r="P118" s="27"/>
      <c r="Q118" s="27"/>
      <c r="R118" s="27"/>
      <c r="S118" s="27"/>
      <c r="T118" s="27"/>
      <c r="U118" s="27"/>
      <c r="V118" s="27"/>
      <c r="W118" s="27"/>
      <c r="X118" s="27"/>
    </row>
    <row r="119">
      <c r="A119" s="25">
        <v>15.9285207733149</v>
      </c>
      <c r="B119" s="25">
        <v>22.8758132426602</v>
      </c>
      <c r="C119" s="25">
        <v>4796.83814864465</v>
      </c>
      <c r="D119" s="25">
        <v>0.162160245571526</v>
      </c>
      <c r="E119" s="25">
        <v>0.0789094666629078</v>
      </c>
      <c r="F119" s="25">
        <v>0.175066682597774</v>
      </c>
      <c r="G119" s="25">
        <v>1.67732016115786</v>
      </c>
      <c r="H119" s="25">
        <v>23.7458349177247</v>
      </c>
      <c r="I119" s="25">
        <v>98.2819414184905</v>
      </c>
      <c r="J119" s="25">
        <v>39.4498400752052</v>
      </c>
      <c r="L119" s="29"/>
      <c r="M119" s="30"/>
      <c r="O119" s="27"/>
      <c r="P119" s="27"/>
      <c r="Q119" s="27"/>
      <c r="R119" s="27"/>
      <c r="S119" s="27"/>
      <c r="T119" s="27"/>
      <c r="U119" s="27"/>
      <c r="V119" s="27"/>
      <c r="W119" s="27"/>
      <c r="X119" s="27"/>
    </row>
    <row r="120">
      <c r="A120" s="25">
        <v>99.1177554416321</v>
      </c>
      <c r="B120" s="25">
        <v>6.24750351735162</v>
      </c>
      <c r="C120" s="25">
        <v>303.472265442978</v>
      </c>
      <c r="D120" s="25">
        <v>0.146392006404061</v>
      </c>
      <c r="E120" s="25">
        <v>0.0822805249958833</v>
      </c>
      <c r="F120" s="25">
        <v>0.326859227886325</v>
      </c>
      <c r="G120" s="25">
        <v>7.29270263961879</v>
      </c>
      <c r="H120" s="25">
        <v>3.76175363443443</v>
      </c>
      <c r="I120" s="25">
        <v>19.306368632397</v>
      </c>
      <c r="J120" s="25">
        <v>72.5075513611686</v>
      </c>
      <c r="L120" s="29"/>
      <c r="M120" s="30"/>
      <c r="O120" s="27"/>
      <c r="P120" s="27"/>
      <c r="Q120" s="27"/>
      <c r="R120" s="27"/>
      <c r="S120" s="27"/>
      <c r="T120" s="27"/>
      <c r="U120" s="27"/>
      <c r="V120" s="27"/>
      <c r="W120" s="27"/>
      <c r="X120" s="27"/>
    </row>
    <row r="121">
      <c r="A121" s="25">
        <v>26.3504727045711</v>
      </c>
      <c r="B121" s="25">
        <v>7.48237099798298</v>
      </c>
      <c r="C121" s="25">
        <v>638.797701494741</v>
      </c>
      <c r="D121" s="25">
        <v>0.0516821705311999</v>
      </c>
      <c r="E121" s="25">
        <v>0.202810356497016</v>
      </c>
      <c r="F121" s="25">
        <v>0.639679163427831</v>
      </c>
      <c r="G121" s="25">
        <v>7.66811956462134</v>
      </c>
      <c r="H121" s="25">
        <v>16.6159335005553</v>
      </c>
      <c r="I121" s="25">
        <v>68.074066978091</v>
      </c>
      <c r="J121" s="25">
        <v>35.710160487775</v>
      </c>
      <c r="L121" s="29"/>
      <c r="M121" s="30"/>
      <c r="O121" s="27"/>
      <c r="P121" s="27"/>
      <c r="Q121" s="27"/>
      <c r="R121" s="27"/>
      <c r="S121" s="27"/>
      <c r="T121" s="27"/>
      <c r="U121" s="27"/>
      <c r="V121" s="27"/>
      <c r="W121" s="27"/>
      <c r="X121" s="27"/>
    </row>
    <row r="122">
      <c r="A122" s="25">
        <v>107.209469767194</v>
      </c>
      <c r="B122" s="25">
        <v>2.12538384214659</v>
      </c>
      <c r="C122" s="25">
        <v>374.931742932038</v>
      </c>
      <c r="D122" s="25">
        <v>0.114128997524415</v>
      </c>
      <c r="E122" s="25">
        <v>0.0700523549526581</v>
      </c>
      <c r="F122" s="25">
        <v>0.460734557601999</v>
      </c>
      <c r="G122" s="25">
        <v>5.73646242745737</v>
      </c>
      <c r="H122" s="25">
        <v>4.10231667907472</v>
      </c>
      <c r="I122" s="25">
        <v>20.3030501493393</v>
      </c>
      <c r="J122" s="25">
        <v>73.2143170023972</v>
      </c>
      <c r="L122" s="29"/>
      <c r="M122" s="30"/>
      <c r="O122" s="27"/>
      <c r="P122" s="27"/>
      <c r="Q122" s="27"/>
      <c r="R122" s="27"/>
      <c r="S122" s="27"/>
      <c r="T122" s="27"/>
      <c r="U122" s="27"/>
      <c r="V122" s="27"/>
      <c r="W122" s="27"/>
      <c r="X122" s="27"/>
    </row>
    <row r="123">
      <c r="A123" s="25">
        <v>93.6204311740741</v>
      </c>
      <c r="B123" s="25">
        <v>1.05475207806623</v>
      </c>
      <c r="C123" s="25">
        <v>459.953192762896</v>
      </c>
      <c r="D123" s="25">
        <v>0.0674321553104085</v>
      </c>
      <c r="E123" s="25">
        <v>0.0588553327300097</v>
      </c>
      <c r="F123" s="25">
        <v>0.358636401875509</v>
      </c>
      <c r="G123" s="25">
        <v>6.85742460715045</v>
      </c>
      <c r="H123" s="25">
        <v>3.03190736510409</v>
      </c>
      <c r="I123" s="25">
        <v>17.4706641007917</v>
      </c>
      <c r="J123" s="25">
        <v>76.9155046124466</v>
      </c>
      <c r="L123" s="29"/>
      <c r="M123" s="30"/>
      <c r="O123" s="27"/>
      <c r="P123" s="27"/>
      <c r="Q123" s="27"/>
      <c r="R123" s="27"/>
      <c r="S123" s="27"/>
      <c r="T123" s="27"/>
      <c r="U123" s="27"/>
      <c r="V123" s="27"/>
      <c r="W123" s="27"/>
      <c r="X123" s="27"/>
    </row>
    <row r="124">
      <c r="A124" s="25">
        <v>43.6112976923285</v>
      </c>
      <c r="B124" s="25">
        <v>15.8050493425411</v>
      </c>
      <c r="C124" s="25">
        <v>1169.65289368946</v>
      </c>
      <c r="D124" s="25">
        <v>0.623923724084418</v>
      </c>
      <c r="E124" s="25">
        <v>0.825334162110453</v>
      </c>
      <c r="F124" s="25">
        <v>0.226681086941794</v>
      </c>
      <c r="G124" s="25">
        <v>5.28975275408274</v>
      </c>
      <c r="H124" s="25">
        <v>17.6927254050798</v>
      </c>
      <c r="I124" s="25">
        <v>58.3385281921947</v>
      </c>
      <c r="J124" s="25">
        <v>27.7570176371063</v>
      </c>
      <c r="L124" s="29"/>
      <c r="M124" s="30"/>
      <c r="O124" s="27"/>
      <c r="P124" s="27"/>
      <c r="Q124" s="27"/>
      <c r="R124" s="27"/>
      <c r="S124" s="27"/>
      <c r="T124" s="27"/>
      <c r="U124" s="27"/>
      <c r="V124" s="27"/>
      <c r="W124" s="27"/>
      <c r="X124" s="27"/>
    </row>
    <row r="125">
      <c r="A125" s="25">
        <v>8.95488371356987</v>
      </c>
      <c r="B125" s="25">
        <v>16.5979181831628</v>
      </c>
      <c r="C125" s="25">
        <v>3535.58124015622</v>
      </c>
      <c r="D125" s="25">
        <v>0.22942892022103</v>
      </c>
      <c r="E125" s="25">
        <v>0.23349522521757</v>
      </c>
      <c r="F125" s="25">
        <v>0.119733576491149</v>
      </c>
      <c r="G125" s="25">
        <v>0.804116937964815</v>
      </c>
      <c r="H125" s="25">
        <v>27.2230133411007</v>
      </c>
      <c r="I125" s="25">
        <v>96.9663148664565</v>
      </c>
      <c r="J125" s="25">
        <v>30.1217367654449</v>
      </c>
      <c r="L125" s="29"/>
      <c r="M125" s="30"/>
      <c r="O125" s="27"/>
      <c r="P125" s="27"/>
      <c r="Q125" s="27"/>
      <c r="R125" s="27"/>
      <c r="S125" s="27"/>
      <c r="T125" s="27"/>
      <c r="U125" s="27"/>
      <c r="V125" s="27"/>
      <c r="W125" s="27"/>
      <c r="X125" s="27"/>
    </row>
    <row r="126">
      <c r="A126" s="25">
        <v>9.32991416663541</v>
      </c>
      <c r="B126" s="25">
        <v>20.0587527789167</v>
      </c>
      <c r="C126" s="25">
        <v>3372.0813495342</v>
      </c>
      <c r="D126" s="25">
        <v>0.232414021692192</v>
      </c>
      <c r="E126" s="25">
        <v>0.14395259256961</v>
      </c>
      <c r="F126" s="25">
        <v>0.120976622195351</v>
      </c>
      <c r="G126" s="25">
        <v>1.1125078221979</v>
      </c>
      <c r="H126" s="25">
        <v>22.8127084983829</v>
      </c>
      <c r="I126" s="25">
        <v>92.2238135782777</v>
      </c>
      <c r="J126" s="25">
        <v>32.0173347832658</v>
      </c>
      <c r="L126" s="29"/>
      <c r="M126" s="30"/>
      <c r="O126" s="27"/>
      <c r="P126" s="27"/>
      <c r="Q126" s="27"/>
      <c r="R126" s="27"/>
      <c r="S126" s="27"/>
      <c r="T126" s="27"/>
      <c r="U126" s="27"/>
      <c r="V126" s="27"/>
      <c r="W126" s="27"/>
      <c r="X126" s="27"/>
    </row>
    <row r="127">
      <c r="A127" s="25">
        <v>65.904457768501</v>
      </c>
      <c r="B127" s="25">
        <v>6.80109144315619</v>
      </c>
      <c r="C127" s="25">
        <v>1067.40541772556</v>
      </c>
      <c r="D127" s="25">
        <v>0.893259083187309</v>
      </c>
      <c r="E127" s="25">
        <v>0.608163426706696</v>
      </c>
      <c r="F127" s="25">
        <v>0.0767433831613456</v>
      </c>
      <c r="G127" s="25">
        <v>2.4743436854299</v>
      </c>
      <c r="H127" s="25">
        <v>20.0503364137087</v>
      </c>
      <c r="I127" s="25">
        <v>53.3777022492906</v>
      </c>
      <c r="J127" s="25">
        <v>65.5819928566825</v>
      </c>
      <c r="L127" s="29"/>
      <c r="M127" s="30"/>
      <c r="O127" s="27"/>
      <c r="P127" s="27"/>
      <c r="Q127" s="27"/>
      <c r="R127" s="27"/>
      <c r="S127" s="27"/>
      <c r="T127" s="27"/>
      <c r="U127" s="27"/>
      <c r="V127" s="27"/>
      <c r="W127" s="27"/>
      <c r="X127" s="27"/>
    </row>
    <row r="128">
      <c r="A128" s="25">
        <v>78.7150480268522</v>
      </c>
      <c r="B128" s="25">
        <v>3.27682695479555</v>
      </c>
      <c r="C128" s="25">
        <v>631.316492885181</v>
      </c>
      <c r="D128" s="25">
        <v>0.200304644407956</v>
      </c>
      <c r="E128" s="25">
        <v>0.162460143065455</v>
      </c>
      <c r="F128" s="25">
        <v>0.420836623059314</v>
      </c>
      <c r="G128" s="25">
        <v>6.53609378871719</v>
      </c>
      <c r="H128" s="25">
        <v>3.88879042380177</v>
      </c>
      <c r="I128" s="25">
        <v>21.2268886093331</v>
      </c>
      <c r="J128" s="25">
        <v>61.1416999857002</v>
      </c>
      <c r="L128" s="29"/>
      <c r="M128" s="30"/>
      <c r="O128" s="27"/>
      <c r="P128" s="27"/>
      <c r="Q128" s="27"/>
      <c r="R128" s="27"/>
      <c r="S128" s="27"/>
      <c r="T128" s="27"/>
      <c r="U128" s="27"/>
      <c r="V128" s="27"/>
      <c r="W128" s="27"/>
      <c r="X128" s="27"/>
    </row>
    <row r="129">
      <c r="A129" s="25">
        <v>73.6360223315538</v>
      </c>
      <c r="B129" s="25">
        <v>2.99493831388357</v>
      </c>
      <c r="C129" s="25">
        <v>374.47230662126</v>
      </c>
      <c r="D129" s="25">
        <v>0.0773385975336362</v>
      </c>
      <c r="E129" s="25">
        <v>0.107855497898268</v>
      </c>
      <c r="F129" s="25">
        <v>0.395530520857051</v>
      </c>
      <c r="G129" s="25">
        <v>5.13261032943777</v>
      </c>
      <c r="H129" s="25">
        <v>5.21629512158289</v>
      </c>
      <c r="I129" s="25">
        <v>5.86648708693196</v>
      </c>
      <c r="J129" s="25">
        <v>63.6443837850419</v>
      </c>
      <c r="L129" s="29"/>
      <c r="M129" s="30"/>
      <c r="O129" s="27"/>
      <c r="P129" s="27"/>
      <c r="Q129" s="27"/>
      <c r="R129" s="27"/>
      <c r="S129" s="27"/>
      <c r="T129" s="27"/>
      <c r="U129" s="27"/>
      <c r="V129" s="27"/>
      <c r="W129" s="27"/>
      <c r="X129" s="27"/>
    </row>
    <row r="130">
      <c r="A130" s="25">
        <v>6.41588839698597</v>
      </c>
      <c r="B130" s="25">
        <v>12.5338535317077</v>
      </c>
      <c r="C130" s="25">
        <v>3933.85545132584</v>
      </c>
      <c r="D130" s="25">
        <v>0.193912624580835</v>
      </c>
      <c r="E130" s="25">
        <v>0.225672487162106</v>
      </c>
      <c r="F130" s="25">
        <v>0.131540584227738</v>
      </c>
      <c r="G130" s="25">
        <v>0.975813175670795</v>
      </c>
      <c r="H130" s="25">
        <v>34.2704628316709</v>
      </c>
      <c r="I130" s="25">
        <v>97.2103369552535</v>
      </c>
      <c r="J130" s="25">
        <v>39.6567816277489</v>
      </c>
      <c r="L130" s="29"/>
      <c r="M130" s="30"/>
      <c r="O130" s="27"/>
      <c r="P130" s="27"/>
      <c r="Q130" s="27"/>
      <c r="R130" s="27"/>
      <c r="S130" s="27"/>
      <c r="T130" s="27"/>
      <c r="U130" s="27"/>
      <c r="V130" s="27"/>
      <c r="W130" s="27"/>
      <c r="X130" s="27"/>
    </row>
    <row r="131">
      <c r="A131" s="25">
        <v>27.7351590115016</v>
      </c>
      <c r="B131" s="25">
        <v>7.12168228982956</v>
      </c>
      <c r="C131" s="25">
        <v>806.948305982236</v>
      </c>
      <c r="D131" s="25">
        <v>0.204437430985209</v>
      </c>
      <c r="E131" s="25">
        <v>0.19422931529673</v>
      </c>
      <c r="F131" s="25">
        <v>0.904324352827218</v>
      </c>
      <c r="G131" s="25">
        <v>7.26672586732058</v>
      </c>
      <c r="H131" s="25">
        <v>12.4019128335549</v>
      </c>
      <c r="I131" s="25">
        <v>66.408862469112</v>
      </c>
      <c r="J131" s="25">
        <v>18.0</v>
      </c>
      <c r="L131" s="29"/>
      <c r="M131" s="30"/>
      <c r="O131" s="27"/>
      <c r="P131" s="27"/>
      <c r="Q131" s="27"/>
      <c r="R131" s="27"/>
      <c r="S131" s="27"/>
      <c r="T131" s="27"/>
      <c r="U131" s="27"/>
      <c r="V131" s="27"/>
      <c r="W131" s="27"/>
      <c r="X131" s="27"/>
    </row>
    <row r="132">
      <c r="A132" s="25">
        <v>44.8475157127717</v>
      </c>
      <c r="B132" s="25">
        <v>7.55719224110399</v>
      </c>
      <c r="C132" s="25">
        <v>860.189049439527</v>
      </c>
      <c r="D132" s="25">
        <v>0.64052969327332</v>
      </c>
      <c r="E132" s="25">
        <v>0.801360010656971</v>
      </c>
      <c r="F132" s="25">
        <v>0.162710941223666</v>
      </c>
      <c r="G132" s="25">
        <v>2.83008316428971</v>
      </c>
      <c r="H132" s="25">
        <v>3.5109511468734</v>
      </c>
      <c r="I132" s="25">
        <v>59.6698211393923</v>
      </c>
      <c r="J132" s="25">
        <v>57.7225159666974</v>
      </c>
      <c r="L132" s="29"/>
      <c r="M132" s="30"/>
      <c r="O132" s="27"/>
      <c r="P132" s="27"/>
      <c r="Q132" s="27"/>
      <c r="R132" s="27"/>
      <c r="S132" s="27"/>
      <c r="T132" s="27"/>
      <c r="U132" s="27"/>
      <c r="V132" s="27"/>
      <c r="W132" s="27"/>
      <c r="X132" s="27"/>
    </row>
    <row r="133">
      <c r="A133" s="25">
        <v>18.3062960727393</v>
      </c>
      <c r="B133" s="25">
        <v>18.1716149736549</v>
      </c>
      <c r="C133" s="25">
        <v>3518.23035171057</v>
      </c>
      <c r="D133" s="25">
        <v>0.223438712803751</v>
      </c>
      <c r="E133" s="25">
        <v>0.100080728040585</v>
      </c>
      <c r="F133" s="25">
        <v>0.115089594990973</v>
      </c>
      <c r="G133" s="25">
        <v>2.76608027838469</v>
      </c>
      <c r="H133" s="25">
        <v>31.1346661194215</v>
      </c>
      <c r="I133" s="25">
        <v>83.9984592352004</v>
      </c>
      <c r="J133" s="25">
        <v>33.3706099985842</v>
      </c>
      <c r="L133" s="29"/>
      <c r="M133" s="30"/>
      <c r="O133" s="27"/>
      <c r="P133" s="27"/>
      <c r="Q133" s="27"/>
      <c r="R133" s="27"/>
      <c r="S133" s="27"/>
      <c r="T133" s="27"/>
      <c r="U133" s="27"/>
      <c r="V133" s="27"/>
      <c r="W133" s="27"/>
      <c r="X133" s="27"/>
    </row>
    <row r="134">
      <c r="A134" s="25">
        <v>5.61008706621719</v>
      </c>
      <c r="B134" s="25">
        <v>16.6924785838405</v>
      </c>
      <c r="C134" s="25">
        <v>3818.81688647877</v>
      </c>
      <c r="D134" s="25">
        <v>0.218368275340808</v>
      </c>
      <c r="E134" s="25">
        <v>0.195679231311662</v>
      </c>
      <c r="F134" s="25">
        <v>0.0598410524659827</v>
      </c>
      <c r="G134" s="25">
        <v>3.49268856895952</v>
      </c>
      <c r="H134" s="25">
        <v>23.6443819947871</v>
      </c>
      <c r="I134" s="25">
        <v>84.7863270565156</v>
      </c>
      <c r="J134" s="25">
        <v>29.0223065668174</v>
      </c>
      <c r="L134" s="29"/>
      <c r="M134" s="30"/>
      <c r="O134" s="27"/>
      <c r="P134" s="27"/>
      <c r="Q134" s="27"/>
      <c r="R134" s="27"/>
      <c r="S134" s="27"/>
      <c r="T134" s="27"/>
      <c r="U134" s="27"/>
      <c r="V134" s="27"/>
      <c r="W134" s="27"/>
      <c r="X134" s="27"/>
    </row>
    <row r="135">
      <c r="A135" s="25">
        <v>3.63639609590587</v>
      </c>
      <c r="B135" s="25">
        <v>10.6521361890831</v>
      </c>
      <c r="C135" s="25">
        <v>1221.05316912773</v>
      </c>
      <c r="D135" s="25">
        <v>0.771867244288178</v>
      </c>
      <c r="E135" s="25">
        <v>0.756699071722487</v>
      </c>
      <c r="F135" s="25">
        <v>0.236115745239286</v>
      </c>
      <c r="G135" s="25">
        <v>2.43745414311345</v>
      </c>
      <c r="H135" s="25">
        <v>12.8837892906148</v>
      </c>
      <c r="I135" s="25">
        <v>69.5311761554619</v>
      </c>
      <c r="J135" s="25">
        <v>27.4571057683075</v>
      </c>
      <c r="L135" s="29"/>
      <c r="M135" s="30"/>
      <c r="O135" s="27"/>
      <c r="P135" s="27"/>
      <c r="Q135" s="27"/>
      <c r="R135" s="27"/>
      <c r="S135" s="27"/>
      <c r="T135" s="27"/>
      <c r="U135" s="27"/>
      <c r="V135" s="27"/>
      <c r="W135" s="27"/>
      <c r="X135" s="27"/>
    </row>
    <row r="136">
      <c r="A136" s="25">
        <v>95.8711586433325</v>
      </c>
      <c r="B136" s="25">
        <v>0.965127293064892</v>
      </c>
      <c r="C136" s="25">
        <v>469.964497365028</v>
      </c>
      <c r="D136" s="25">
        <v>0.0982179258851258</v>
      </c>
      <c r="E136" s="25">
        <v>0.0153947273637796</v>
      </c>
      <c r="F136" s="25">
        <v>0.416473935445717</v>
      </c>
      <c r="G136" s="25">
        <v>3.89811263480292</v>
      </c>
      <c r="H136" s="25">
        <v>1.78462134447842</v>
      </c>
      <c r="I136" s="25">
        <v>16.6045535778475</v>
      </c>
      <c r="J136" s="25">
        <v>73.040461446001</v>
      </c>
      <c r="L136" s="29"/>
      <c r="M136" s="30"/>
      <c r="O136" s="27"/>
      <c r="P136" s="27"/>
      <c r="Q136" s="27"/>
      <c r="R136" s="27"/>
      <c r="S136" s="27"/>
      <c r="T136" s="27"/>
      <c r="U136" s="27"/>
      <c r="V136" s="27"/>
      <c r="W136" s="27"/>
      <c r="X136" s="27"/>
    </row>
    <row r="137">
      <c r="A137" s="25">
        <v>24.762672715324</v>
      </c>
      <c r="B137" s="25">
        <v>8.18503954954391</v>
      </c>
      <c r="C137" s="25">
        <v>1128.64495009917</v>
      </c>
      <c r="D137" s="25">
        <v>0.869310560726314</v>
      </c>
      <c r="E137" s="25">
        <v>0.767644155527722</v>
      </c>
      <c r="F137" s="25">
        <v>0.174308051264167</v>
      </c>
      <c r="G137" s="25">
        <v>3.17240977935128</v>
      </c>
      <c r="H137" s="25">
        <v>15.3445755321854</v>
      </c>
      <c r="I137" s="25">
        <v>47.1343318561727</v>
      </c>
      <c r="J137" s="25">
        <v>18.0</v>
      </c>
      <c r="L137" s="29"/>
      <c r="M137" s="30"/>
      <c r="O137" s="27"/>
      <c r="P137" s="27"/>
      <c r="Q137" s="27"/>
      <c r="R137" s="27"/>
      <c r="S137" s="27"/>
      <c r="T137" s="27"/>
      <c r="U137" s="27"/>
      <c r="V137" s="27"/>
      <c r="W137" s="27"/>
      <c r="X137" s="27"/>
    </row>
    <row r="138">
      <c r="A138" s="25">
        <v>34.3655980415766</v>
      </c>
      <c r="B138" s="25">
        <v>12.7118045232585</v>
      </c>
      <c r="C138" s="25">
        <v>309.26689111454</v>
      </c>
      <c r="D138" s="25">
        <v>0.0995134647645031</v>
      </c>
      <c r="E138" s="25">
        <v>0.130957713050259</v>
      </c>
      <c r="F138" s="25">
        <v>0.955749546971169</v>
      </c>
      <c r="G138" s="25">
        <v>8.03119056151311</v>
      </c>
      <c r="H138" s="25">
        <v>14.3599852938543</v>
      </c>
      <c r="I138" s="25">
        <v>63.1710355889516</v>
      </c>
      <c r="J138" s="25">
        <v>39.6241349340372</v>
      </c>
      <c r="L138" s="29"/>
      <c r="M138" s="30"/>
      <c r="O138" s="27"/>
      <c r="P138" s="27"/>
      <c r="Q138" s="27"/>
      <c r="R138" s="27"/>
      <c r="S138" s="27"/>
      <c r="T138" s="27"/>
      <c r="U138" s="27"/>
      <c r="V138" s="27"/>
      <c r="W138" s="27"/>
      <c r="X138" s="27"/>
    </row>
    <row r="139">
      <c r="A139" s="25">
        <v>23.5403582087546</v>
      </c>
      <c r="B139" s="25">
        <v>7.60242398004923</v>
      </c>
      <c r="C139" s="25">
        <v>779.314119454491</v>
      </c>
      <c r="D139" s="25">
        <v>0.102333569587064</v>
      </c>
      <c r="E139" s="25">
        <v>0.106133515799739</v>
      </c>
      <c r="F139" s="25">
        <v>0.912467845846956</v>
      </c>
      <c r="G139" s="25">
        <v>8.48461890967404</v>
      </c>
      <c r="H139" s="25">
        <v>16.7382324893685</v>
      </c>
      <c r="I139" s="25">
        <v>62.0818873108445</v>
      </c>
      <c r="J139" s="25">
        <v>19.0576643391234</v>
      </c>
      <c r="L139" s="29"/>
      <c r="M139" s="30"/>
      <c r="O139" s="27"/>
      <c r="P139" s="27"/>
      <c r="Q139" s="27"/>
      <c r="R139" s="27"/>
      <c r="S139" s="27"/>
      <c r="T139" s="27"/>
      <c r="U139" s="27"/>
      <c r="V139" s="27"/>
      <c r="W139" s="27"/>
      <c r="X139" s="27"/>
    </row>
    <row r="140">
      <c r="A140" s="25">
        <v>53.2466466572073</v>
      </c>
      <c r="B140" s="25">
        <v>7.76648840896159</v>
      </c>
      <c r="C140" s="25">
        <v>945.856025922812</v>
      </c>
      <c r="D140" s="25">
        <v>1.0</v>
      </c>
      <c r="E140" s="25">
        <v>0.779875290836568</v>
      </c>
      <c r="F140" s="25">
        <v>0.147374626493337</v>
      </c>
      <c r="G140" s="25">
        <v>3.57364240379445</v>
      </c>
      <c r="H140" s="25">
        <v>19.593782836787</v>
      </c>
      <c r="I140" s="25">
        <v>61.3592449264531</v>
      </c>
      <c r="J140" s="25">
        <v>25.6172202168263</v>
      </c>
      <c r="L140" s="29"/>
      <c r="M140" s="30"/>
      <c r="O140" s="27"/>
      <c r="P140" s="27"/>
      <c r="Q140" s="27"/>
      <c r="R140" s="27"/>
      <c r="S140" s="27"/>
      <c r="T140" s="27"/>
      <c r="U140" s="27"/>
      <c r="V140" s="27"/>
      <c r="W140" s="27"/>
      <c r="X140" s="27"/>
    </row>
    <row r="141">
      <c r="A141" s="25">
        <v>108.384578691504</v>
      </c>
      <c r="B141" s="25">
        <v>1.9977838716915</v>
      </c>
      <c r="C141" s="25">
        <v>680.994666432631</v>
      </c>
      <c r="D141" s="25">
        <v>0.154002403285732</v>
      </c>
      <c r="E141" s="25">
        <v>0.0621071241736499</v>
      </c>
      <c r="F141" s="25">
        <v>0.428101636173511</v>
      </c>
      <c r="G141" s="25">
        <v>5.1017832657911</v>
      </c>
      <c r="H141" s="25">
        <v>4.27916051268333</v>
      </c>
      <c r="I141" s="25">
        <v>18.8778625383558</v>
      </c>
      <c r="J141" s="25">
        <v>59.0755034150638</v>
      </c>
      <c r="L141" s="29"/>
      <c r="M141" s="30"/>
      <c r="O141" s="27"/>
      <c r="P141" s="27"/>
      <c r="Q141" s="27"/>
      <c r="R141" s="27"/>
      <c r="S141" s="27"/>
      <c r="T141" s="27"/>
      <c r="U141" s="27"/>
      <c r="V141" s="27"/>
      <c r="W141" s="27"/>
      <c r="X141" s="27"/>
    </row>
    <row r="142">
      <c r="A142" s="25">
        <v>77.1290033536507</v>
      </c>
      <c r="B142" s="25">
        <v>4.54494122637174</v>
      </c>
      <c r="C142" s="25">
        <v>349.783700184018</v>
      </c>
      <c r="D142" s="25">
        <v>0.0798175768379001</v>
      </c>
      <c r="E142" s="25">
        <v>0.0417950968260258</v>
      </c>
      <c r="F142" s="25">
        <v>0.342359906559346</v>
      </c>
      <c r="G142" s="25">
        <v>8.09378737886471</v>
      </c>
      <c r="H142" s="25">
        <v>1.39870062861859</v>
      </c>
      <c r="I142" s="25">
        <v>15.193755653382</v>
      </c>
      <c r="J142" s="25">
        <v>74.885543887908</v>
      </c>
      <c r="L142" s="29"/>
      <c r="M142" s="30"/>
      <c r="O142" s="27"/>
      <c r="P142" s="27"/>
      <c r="Q142" s="27"/>
      <c r="R142" s="27"/>
      <c r="S142" s="27"/>
      <c r="T142" s="27"/>
      <c r="U142" s="27"/>
      <c r="V142" s="27"/>
      <c r="W142" s="27"/>
      <c r="X142" s="27"/>
    </row>
    <row r="143">
      <c r="A143" s="25">
        <v>38.8053791313142</v>
      </c>
      <c r="B143" s="25">
        <v>9.3571153887492</v>
      </c>
      <c r="C143" s="25">
        <v>681.281941555936</v>
      </c>
      <c r="D143" s="25">
        <v>0.842830709720764</v>
      </c>
      <c r="E143" s="25">
        <v>0.731285573499545</v>
      </c>
      <c r="F143" s="25">
        <v>0.26900109969759</v>
      </c>
      <c r="G143" s="25">
        <v>5.18738605156475</v>
      </c>
      <c r="H143" s="25">
        <v>25.3582545680744</v>
      </c>
      <c r="I143" s="25">
        <v>66.9555980785629</v>
      </c>
      <c r="J143" s="25">
        <v>43.2579631658216</v>
      </c>
      <c r="L143" s="29"/>
      <c r="M143" s="30"/>
      <c r="O143" s="27"/>
      <c r="P143" s="27"/>
      <c r="Q143" s="27"/>
      <c r="R143" s="27"/>
      <c r="S143" s="27"/>
      <c r="T143" s="27"/>
      <c r="U143" s="27"/>
      <c r="V143" s="27"/>
      <c r="W143" s="27"/>
      <c r="X143" s="27"/>
    </row>
    <row r="144">
      <c r="A144" s="25">
        <v>42.91576452366</v>
      </c>
      <c r="B144" s="25">
        <v>6.94050112156793</v>
      </c>
      <c r="C144" s="25">
        <v>1101.5451530385</v>
      </c>
      <c r="D144" s="25">
        <v>0.770459858986097</v>
      </c>
      <c r="E144" s="25">
        <v>0.766846097626961</v>
      </c>
      <c r="F144" s="25">
        <v>0.292231827492557</v>
      </c>
      <c r="G144" s="25">
        <v>2.99345743472035</v>
      </c>
      <c r="H144" s="25">
        <v>19.5595142445161</v>
      </c>
      <c r="I144" s="25">
        <v>75.8053808080783</v>
      </c>
      <c r="J144" s="25">
        <v>38.8193147300892</v>
      </c>
      <c r="L144" s="29"/>
      <c r="M144" s="30"/>
      <c r="O144" s="27"/>
      <c r="P144" s="27"/>
      <c r="Q144" s="27"/>
      <c r="R144" s="27"/>
      <c r="S144" s="27"/>
      <c r="T144" s="27"/>
      <c r="U144" s="27"/>
      <c r="V144" s="27"/>
      <c r="W144" s="27"/>
      <c r="X144" s="27"/>
    </row>
    <row r="145">
      <c r="A145" s="25">
        <v>8.17217651487108</v>
      </c>
      <c r="B145" s="25">
        <v>6.1765340387167</v>
      </c>
      <c r="C145" s="25">
        <v>1389.09836396833</v>
      </c>
      <c r="D145" s="25">
        <v>0.797713193770111</v>
      </c>
      <c r="E145" s="25">
        <v>0.650069776770508</v>
      </c>
      <c r="F145" s="25">
        <v>0.164665755514024</v>
      </c>
      <c r="G145" s="25">
        <v>4.84062002650455</v>
      </c>
      <c r="H145" s="25">
        <v>17.1869342728055</v>
      </c>
      <c r="I145" s="25">
        <v>57.1328148099636</v>
      </c>
      <c r="J145" s="25">
        <v>36.3317558818531</v>
      </c>
      <c r="L145" s="29"/>
      <c r="M145" s="30"/>
      <c r="O145" s="27"/>
      <c r="P145" s="27"/>
      <c r="Q145" s="27"/>
      <c r="R145" s="27"/>
      <c r="S145" s="27"/>
      <c r="T145" s="27"/>
      <c r="U145" s="27"/>
      <c r="V145" s="27"/>
      <c r="W145" s="27"/>
      <c r="X145" s="27"/>
    </row>
    <row r="146">
      <c r="A146" s="25">
        <v>34.1236277643426</v>
      </c>
      <c r="B146" s="25">
        <v>5.23276944650449</v>
      </c>
      <c r="C146" s="25">
        <v>1484.61270684083</v>
      </c>
      <c r="D146" s="25">
        <v>0.767767953078866</v>
      </c>
      <c r="E146" s="25">
        <v>0.871715852082549</v>
      </c>
      <c r="F146" s="25">
        <v>0.306492123634571</v>
      </c>
      <c r="G146" s="25">
        <v>4.99831089814796</v>
      </c>
      <c r="H146" s="25">
        <v>13.2735187491278</v>
      </c>
      <c r="I146" s="25">
        <v>64.8447610840393</v>
      </c>
      <c r="J146" s="25">
        <v>39.7580439360908</v>
      </c>
      <c r="L146" s="29"/>
      <c r="M146" s="30"/>
      <c r="O146" s="27"/>
      <c r="P146" s="27"/>
      <c r="Q146" s="27"/>
      <c r="R146" s="27"/>
      <c r="S146" s="27"/>
      <c r="T146" s="27"/>
      <c r="U146" s="27"/>
      <c r="V146" s="27"/>
      <c r="W146" s="27"/>
      <c r="X146" s="27"/>
    </row>
    <row r="147">
      <c r="A147" s="25">
        <v>5.48149069634935</v>
      </c>
      <c r="B147" s="25">
        <v>21.2974371268864</v>
      </c>
      <c r="C147" s="25">
        <v>3056.76816707215</v>
      </c>
      <c r="D147" s="25">
        <v>0.259383969423078</v>
      </c>
      <c r="E147" s="25">
        <v>0.12676913513508</v>
      </c>
      <c r="F147" s="25">
        <v>0.110057982793641</v>
      </c>
      <c r="G147" s="25">
        <v>2.28328787154614</v>
      </c>
      <c r="H147" s="25">
        <v>23.7054751314796</v>
      </c>
      <c r="I147" s="25">
        <v>90.8669380147527</v>
      </c>
      <c r="J147" s="25">
        <v>31.2007707470198</v>
      </c>
      <c r="L147" s="29"/>
      <c r="M147" s="30"/>
      <c r="O147" s="27"/>
      <c r="P147" s="27"/>
      <c r="Q147" s="27"/>
      <c r="R147" s="27"/>
      <c r="S147" s="27"/>
      <c r="T147" s="27"/>
      <c r="U147" s="27"/>
      <c r="V147" s="27"/>
      <c r="W147" s="27"/>
      <c r="X147" s="27"/>
    </row>
    <row r="148">
      <c r="A148" s="25">
        <v>38.7129729745724</v>
      </c>
      <c r="B148" s="25">
        <v>5.96206095925975</v>
      </c>
      <c r="C148" s="25">
        <v>931.594894886602</v>
      </c>
      <c r="D148" s="25">
        <v>0.246946449952914</v>
      </c>
      <c r="E148" s="25">
        <v>0.0499834337697212</v>
      </c>
      <c r="F148" s="25">
        <v>0.682225502947514</v>
      </c>
      <c r="G148" s="25">
        <v>8.77086177448837</v>
      </c>
      <c r="H148" s="25">
        <v>18.8979089096979</v>
      </c>
      <c r="I148" s="25">
        <v>68.5063009927355</v>
      </c>
      <c r="J148" s="25">
        <v>33.4243099110336</v>
      </c>
      <c r="L148" s="29"/>
      <c r="M148" s="30"/>
      <c r="O148" s="27"/>
      <c r="P148" s="27"/>
      <c r="Q148" s="27"/>
      <c r="R148" s="27"/>
      <c r="S148" s="27"/>
      <c r="T148" s="27"/>
      <c r="U148" s="27"/>
      <c r="V148" s="27"/>
      <c r="W148" s="27"/>
      <c r="X148" s="27"/>
    </row>
    <row r="149">
      <c r="A149" s="25">
        <v>36.3472146856177</v>
      </c>
      <c r="B149" s="25">
        <v>13.3290995258686</v>
      </c>
      <c r="C149" s="25">
        <v>1002.45466423212</v>
      </c>
      <c r="D149" s="25">
        <v>0.137937117269072</v>
      </c>
      <c r="E149" s="25">
        <v>0.133628685060136</v>
      </c>
      <c r="F149" s="25">
        <v>0.939988193489521</v>
      </c>
      <c r="G149" s="25">
        <v>7.80104938042613</v>
      </c>
      <c r="H149" s="25">
        <v>13.1273534766467</v>
      </c>
      <c r="I149" s="25">
        <v>76.0708066928697</v>
      </c>
      <c r="J149" s="25">
        <v>29.1573318523248</v>
      </c>
      <c r="L149" s="29"/>
      <c r="M149" s="30"/>
      <c r="O149" s="27"/>
      <c r="P149" s="27"/>
      <c r="Q149" s="27"/>
      <c r="R149" s="27"/>
      <c r="S149" s="27"/>
      <c r="T149" s="27"/>
      <c r="U149" s="27"/>
      <c r="V149" s="27"/>
      <c r="W149" s="27"/>
      <c r="X149" s="27"/>
    </row>
    <row r="150">
      <c r="A150" s="25">
        <v>1.0</v>
      </c>
      <c r="B150" s="25">
        <v>23.3896867086016</v>
      </c>
      <c r="C150" s="25">
        <v>3571.73745123686</v>
      </c>
      <c r="D150" s="25">
        <v>0.195473335884791</v>
      </c>
      <c r="E150" s="25">
        <v>0.16659901652845</v>
      </c>
      <c r="F150" s="25">
        <v>0.109524983988953</v>
      </c>
      <c r="G150" s="25">
        <v>2.70945181713903</v>
      </c>
      <c r="H150" s="25">
        <v>22.8225681471507</v>
      </c>
      <c r="I150" s="25">
        <v>90.1310579817608</v>
      </c>
      <c r="J150" s="25">
        <v>32.9236265793286</v>
      </c>
      <c r="L150" s="29"/>
      <c r="M150" s="30"/>
      <c r="O150" s="27"/>
      <c r="P150" s="27"/>
      <c r="Q150" s="27"/>
      <c r="R150" s="27"/>
      <c r="S150" s="27"/>
      <c r="T150" s="27"/>
      <c r="U150" s="27"/>
      <c r="V150" s="27"/>
      <c r="W150" s="27"/>
      <c r="X150" s="27"/>
    </row>
    <row r="151">
      <c r="A151" s="25">
        <v>51.0821572133125</v>
      </c>
      <c r="B151" s="25">
        <v>9.84610245203916</v>
      </c>
      <c r="C151" s="25">
        <v>719.368389386621</v>
      </c>
      <c r="D151" s="25">
        <v>0.908598211617503</v>
      </c>
      <c r="E151" s="25">
        <v>0.696403655488595</v>
      </c>
      <c r="F151" s="25">
        <v>0.25656404587968</v>
      </c>
      <c r="G151" s="25">
        <v>4.36728731340134</v>
      </c>
      <c r="H151" s="25">
        <v>22.3527347071804</v>
      </c>
      <c r="I151" s="25">
        <v>57.3184082115377</v>
      </c>
      <c r="J151" s="25">
        <v>36.506832038818</v>
      </c>
      <c r="L151" s="29"/>
      <c r="M151" s="30"/>
      <c r="O151" s="27"/>
      <c r="P151" s="27"/>
      <c r="Q151" s="27"/>
      <c r="R151" s="27"/>
      <c r="S151" s="27"/>
      <c r="T151" s="27"/>
      <c r="U151" s="27"/>
      <c r="V151" s="27"/>
      <c r="W151" s="27"/>
      <c r="X151" s="27"/>
    </row>
    <row r="152">
      <c r="A152" s="25">
        <v>89.6116078822453</v>
      </c>
      <c r="B152" s="25">
        <v>2.54523032574858</v>
      </c>
      <c r="C152" s="25">
        <v>519.991285291307</v>
      </c>
      <c r="D152" s="25">
        <v>0.0191844695781706</v>
      </c>
      <c r="E152" s="25">
        <v>0.0378527032341458</v>
      </c>
      <c r="F152" s="25">
        <v>0.19321970784208</v>
      </c>
      <c r="G152" s="25">
        <v>6.42546138796036</v>
      </c>
      <c r="H152" s="25">
        <v>5.56592005887288</v>
      </c>
      <c r="I152" s="25">
        <v>14.1644062517002</v>
      </c>
      <c r="J152" s="25">
        <v>63.8182479376699</v>
      </c>
      <c r="L152" s="29"/>
      <c r="M152" s="30"/>
      <c r="O152" s="27"/>
      <c r="P152" s="27"/>
      <c r="Q152" s="27"/>
      <c r="R152" s="27"/>
      <c r="S152" s="27"/>
      <c r="T152" s="27"/>
      <c r="U152" s="27"/>
      <c r="V152" s="27"/>
      <c r="W152" s="27"/>
      <c r="X152" s="27"/>
    </row>
    <row r="153">
      <c r="A153" s="25">
        <v>10.3502608155659</v>
      </c>
      <c r="B153" s="25">
        <v>24.6475132104327</v>
      </c>
      <c r="C153" s="25">
        <v>3258.11749264754</v>
      </c>
      <c r="D153" s="25">
        <v>0.211918449136739</v>
      </c>
      <c r="E153" s="25">
        <v>0.198759881489121</v>
      </c>
      <c r="F153" s="25">
        <v>0.125054708496992</v>
      </c>
      <c r="G153" s="25">
        <v>2.18958161659874</v>
      </c>
      <c r="H153" s="25">
        <v>30.0052304628357</v>
      </c>
      <c r="I153" s="25">
        <v>57.9676770700076</v>
      </c>
      <c r="J153" s="25">
        <v>40.4230025562472</v>
      </c>
      <c r="L153" s="29"/>
      <c r="M153" s="30"/>
      <c r="O153" s="27"/>
      <c r="P153" s="27"/>
      <c r="Q153" s="27"/>
      <c r="R153" s="27"/>
      <c r="S153" s="27"/>
      <c r="T153" s="27"/>
      <c r="U153" s="27"/>
      <c r="V153" s="27"/>
      <c r="W153" s="27"/>
      <c r="X153" s="27"/>
    </row>
    <row r="154">
      <c r="A154" s="25">
        <v>6.72962158436288</v>
      </c>
      <c r="B154" s="25">
        <v>12.6774684125741</v>
      </c>
      <c r="C154" s="25">
        <v>4408.96207961998</v>
      </c>
      <c r="D154" s="25">
        <v>0.268682927258147</v>
      </c>
      <c r="E154" s="25">
        <v>0.143127574268615</v>
      </c>
      <c r="F154" s="25">
        <v>0.147643727360146</v>
      </c>
      <c r="G154" s="25">
        <v>3.61227825798864</v>
      </c>
      <c r="H154" s="25">
        <v>31.5745722679202</v>
      </c>
      <c r="I154" s="25">
        <v>101.399645293713</v>
      </c>
      <c r="J154" s="25">
        <v>40.9370199285751</v>
      </c>
      <c r="L154" s="29"/>
      <c r="M154" s="30"/>
      <c r="O154" s="27"/>
      <c r="P154" s="27"/>
      <c r="Q154" s="27"/>
      <c r="R154" s="27"/>
      <c r="S154" s="27"/>
      <c r="T154" s="27"/>
      <c r="U154" s="27"/>
      <c r="V154" s="27"/>
      <c r="W154" s="27"/>
      <c r="X154" s="27"/>
    </row>
    <row r="155">
      <c r="A155" s="25">
        <v>41.1315045835238</v>
      </c>
      <c r="B155" s="25">
        <v>3.19410256430849</v>
      </c>
      <c r="C155" s="25">
        <v>926.181253561015</v>
      </c>
      <c r="D155" s="25">
        <v>0.71567534046838</v>
      </c>
      <c r="E155" s="25">
        <v>0.967094271749781</v>
      </c>
      <c r="F155" s="25">
        <v>0.187687993129736</v>
      </c>
      <c r="G155" s="25">
        <v>4.12320480678448</v>
      </c>
      <c r="H155" s="25">
        <v>17.2059415041618</v>
      </c>
      <c r="I155" s="25">
        <v>60.5232293564694</v>
      </c>
      <c r="J155" s="25">
        <v>56.9505104043075</v>
      </c>
      <c r="L155" s="29"/>
      <c r="M155" s="30"/>
      <c r="O155" s="27"/>
      <c r="P155" s="27"/>
      <c r="Q155" s="27"/>
      <c r="R155" s="27"/>
      <c r="S155" s="27"/>
      <c r="T155" s="27"/>
      <c r="U155" s="27"/>
      <c r="V155" s="27"/>
      <c r="W155" s="27"/>
      <c r="X155" s="27"/>
    </row>
    <row r="156">
      <c r="A156" s="25">
        <v>77.5470127653109</v>
      </c>
      <c r="B156" s="25">
        <v>3.29191118285586</v>
      </c>
      <c r="C156" s="25">
        <v>288.629412145292</v>
      </c>
      <c r="D156" s="25">
        <v>0.0339988744389647</v>
      </c>
      <c r="E156" s="25">
        <v>0.0555292363637885</v>
      </c>
      <c r="F156" s="25">
        <v>0.296296320295158</v>
      </c>
      <c r="G156" s="25">
        <v>4.35604666322411</v>
      </c>
      <c r="H156" s="25">
        <v>1.96136853018921</v>
      </c>
      <c r="I156" s="25">
        <v>3.74946029062532</v>
      </c>
      <c r="J156" s="25">
        <v>64.4182609915991</v>
      </c>
      <c r="L156" s="29"/>
      <c r="M156" s="30"/>
      <c r="O156" s="27"/>
      <c r="P156" s="27"/>
      <c r="Q156" s="27"/>
      <c r="R156" s="27"/>
      <c r="S156" s="27"/>
      <c r="T156" s="27"/>
      <c r="U156" s="27"/>
      <c r="V156" s="27"/>
      <c r="W156" s="27"/>
      <c r="X156" s="27"/>
    </row>
    <row r="157">
      <c r="A157" s="25">
        <v>2.47639812984498</v>
      </c>
      <c r="B157" s="25">
        <v>23.0402238547584</v>
      </c>
      <c r="C157" s="25">
        <v>4065.9518023476</v>
      </c>
      <c r="D157" s="25">
        <v>0.127122425026753</v>
      </c>
      <c r="E157" s="25">
        <v>0.134539546147506</v>
      </c>
      <c r="F157" s="25">
        <v>0.0623921797204708</v>
      </c>
      <c r="G157" s="25">
        <v>2.31917451041918</v>
      </c>
      <c r="H157" s="25">
        <v>31.7022522301157</v>
      </c>
      <c r="I157" s="25">
        <v>66.2482753035425</v>
      </c>
      <c r="J157" s="25">
        <v>35.9202086331793</v>
      </c>
      <c r="L157" s="29"/>
      <c r="M157" s="30"/>
      <c r="O157" s="27"/>
      <c r="P157" s="27"/>
      <c r="Q157" s="27"/>
      <c r="R157" s="27"/>
      <c r="S157" s="27"/>
      <c r="T157" s="27"/>
      <c r="U157" s="27"/>
      <c r="V157" s="27"/>
      <c r="W157" s="27"/>
      <c r="X157" s="27"/>
    </row>
    <row r="158">
      <c r="A158" s="25">
        <v>28.3986720443335</v>
      </c>
      <c r="B158" s="25">
        <v>12.0140202293513</v>
      </c>
      <c r="C158" s="25">
        <v>953.299157059422</v>
      </c>
      <c r="D158" s="25">
        <v>0.112401533413059</v>
      </c>
      <c r="E158" s="25">
        <v>0.084047303216669</v>
      </c>
      <c r="F158" s="25">
        <v>0.670397414319651</v>
      </c>
      <c r="G158" s="25">
        <v>9.61401070789789</v>
      </c>
      <c r="H158" s="25">
        <v>18.1065582433597</v>
      </c>
      <c r="I158" s="25">
        <v>84.01190685753</v>
      </c>
      <c r="J158" s="25">
        <v>29.5753743032976</v>
      </c>
      <c r="L158" s="29"/>
      <c r="M158" s="30"/>
      <c r="O158" s="27"/>
      <c r="P158" s="27"/>
      <c r="Q158" s="27"/>
      <c r="R158" s="27"/>
      <c r="S158" s="27"/>
      <c r="T158" s="27"/>
      <c r="U158" s="27"/>
      <c r="V158" s="27"/>
      <c r="W158" s="27"/>
      <c r="X158" s="27"/>
    </row>
    <row r="159">
      <c r="A159" s="25">
        <v>75.8318646617907</v>
      </c>
      <c r="B159" s="25">
        <v>0.729428411080759</v>
      </c>
      <c r="C159" s="25">
        <v>129.529048561608</v>
      </c>
      <c r="D159" s="25">
        <v>0.0207932028497255</v>
      </c>
      <c r="E159" s="25">
        <v>0.0906850660404593</v>
      </c>
      <c r="F159" s="25">
        <v>0.350872502322993</v>
      </c>
      <c r="G159" s="25">
        <v>2.62821394695179</v>
      </c>
      <c r="H159" s="25">
        <v>4.34255747111417</v>
      </c>
      <c r="I159" s="25">
        <v>11.1355115865324</v>
      </c>
      <c r="J159" s="25">
        <v>66.0275510838988</v>
      </c>
      <c r="L159" s="29"/>
      <c r="M159" s="30"/>
      <c r="O159" s="27"/>
      <c r="P159" s="27"/>
      <c r="Q159" s="27"/>
      <c r="R159" s="27"/>
      <c r="S159" s="27"/>
      <c r="T159" s="27"/>
      <c r="U159" s="27"/>
      <c r="V159" s="27"/>
      <c r="W159" s="27"/>
      <c r="X159" s="27"/>
    </row>
    <row r="160">
      <c r="A160" s="25">
        <v>18.0611031412771</v>
      </c>
      <c r="B160" s="25">
        <v>23.5873572634621</v>
      </c>
      <c r="C160" s="25">
        <v>3785.17548167533</v>
      </c>
      <c r="D160" s="25">
        <v>0.155440388729235</v>
      </c>
      <c r="E160" s="25">
        <v>0.0424092299335347</v>
      </c>
      <c r="F160" s="25">
        <v>0.064042334037879</v>
      </c>
      <c r="G160" s="25">
        <v>1.7888697611723</v>
      </c>
      <c r="H160" s="25">
        <v>20.064102364244</v>
      </c>
      <c r="I160" s="25">
        <v>83.6874303290769</v>
      </c>
      <c r="J160" s="25">
        <v>35.6148150636701</v>
      </c>
      <c r="L160" s="29"/>
      <c r="M160" s="30"/>
      <c r="O160" s="27"/>
      <c r="P160" s="27"/>
      <c r="Q160" s="27"/>
      <c r="R160" s="27"/>
      <c r="S160" s="27"/>
      <c r="T160" s="27"/>
      <c r="U160" s="27"/>
      <c r="V160" s="27"/>
      <c r="W160" s="27"/>
      <c r="X160" s="27"/>
    </row>
    <row r="161">
      <c r="A161" s="25">
        <v>27.7514401819192</v>
      </c>
      <c r="B161" s="25">
        <v>8.04999225752962</v>
      </c>
      <c r="C161" s="25">
        <v>942.163667991681</v>
      </c>
      <c r="D161" s="25">
        <v>0.17209703247847</v>
      </c>
      <c r="E161" s="25">
        <v>0.0454800461278577</v>
      </c>
      <c r="F161" s="25">
        <v>0.891093237974627</v>
      </c>
      <c r="G161" s="25">
        <v>7.8521178015736</v>
      </c>
      <c r="H161" s="25">
        <v>18.0942481147242</v>
      </c>
      <c r="I161" s="25">
        <v>72.0821442325655</v>
      </c>
      <c r="J161" s="25">
        <v>31.6325129188445</v>
      </c>
      <c r="L161" s="29"/>
      <c r="M161" s="30"/>
      <c r="O161" s="27"/>
      <c r="P161" s="27"/>
      <c r="Q161" s="27"/>
      <c r="R161" s="27"/>
      <c r="S161" s="27"/>
      <c r="T161" s="27"/>
      <c r="U161" s="27"/>
      <c r="V161" s="27"/>
      <c r="W161" s="27"/>
      <c r="X161" s="27"/>
    </row>
    <row r="162">
      <c r="A162" s="25">
        <v>54.2970495086986</v>
      </c>
      <c r="B162" s="25">
        <v>8.86137249560547</v>
      </c>
      <c r="C162" s="25">
        <v>816.268787607868</v>
      </c>
      <c r="D162" s="25">
        <v>0.83615035252061</v>
      </c>
      <c r="E162" s="25">
        <v>0.635627379267933</v>
      </c>
      <c r="F162" s="25">
        <v>0.207599179404356</v>
      </c>
      <c r="G162" s="25">
        <v>3.96677000935553</v>
      </c>
      <c r="H162" s="25">
        <v>14.1675325709098</v>
      </c>
      <c r="I162" s="25">
        <v>58.4575498627328</v>
      </c>
      <c r="J162" s="25">
        <v>21.1815095450236</v>
      </c>
      <c r="L162" s="29"/>
      <c r="M162" s="30"/>
      <c r="O162" s="27"/>
      <c r="P162" s="27"/>
      <c r="Q162" s="27"/>
      <c r="R162" s="27"/>
      <c r="S162" s="27"/>
      <c r="T162" s="27"/>
      <c r="U162" s="27"/>
      <c r="V162" s="27"/>
      <c r="W162" s="27"/>
      <c r="X162" s="27"/>
    </row>
    <row r="163">
      <c r="A163" s="25">
        <v>24.5127509225903</v>
      </c>
      <c r="B163" s="25">
        <v>10.2785347034233</v>
      </c>
      <c r="C163" s="25">
        <v>939.96409799935</v>
      </c>
      <c r="D163" s="25">
        <v>0.098616242953702</v>
      </c>
      <c r="E163" s="25">
        <v>0.163285392043235</v>
      </c>
      <c r="F163" s="25">
        <v>0.66338251517855</v>
      </c>
      <c r="G163" s="25">
        <v>9.4541858007901</v>
      </c>
      <c r="H163" s="25">
        <v>20.1359718093584</v>
      </c>
      <c r="I163" s="25">
        <v>58.5377269015619</v>
      </c>
      <c r="J163" s="25">
        <v>42.4271762482665</v>
      </c>
      <c r="L163" s="29"/>
      <c r="M163" s="30"/>
      <c r="O163" s="27"/>
      <c r="P163" s="27"/>
      <c r="Q163" s="27"/>
      <c r="R163" s="27"/>
      <c r="S163" s="27"/>
      <c r="T163" s="27"/>
      <c r="U163" s="27"/>
      <c r="V163" s="27"/>
      <c r="W163" s="27"/>
      <c r="X163" s="27"/>
    </row>
    <row r="164">
      <c r="A164" s="25">
        <v>18.0636316824352</v>
      </c>
      <c r="B164" s="25">
        <v>12.75746252083</v>
      </c>
      <c r="C164" s="25">
        <v>1150.14557951074</v>
      </c>
      <c r="D164" s="25">
        <v>0.116468989546167</v>
      </c>
      <c r="E164" s="25">
        <v>0.169623265003216</v>
      </c>
      <c r="F164" s="25">
        <v>0.724995348540104</v>
      </c>
      <c r="G164" s="25">
        <v>8.43304044391978</v>
      </c>
      <c r="H164" s="25">
        <v>19.3016091938561</v>
      </c>
      <c r="I164" s="25">
        <v>63.6569125852945</v>
      </c>
      <c r="J164" s="25">
        <v>35.6756579121184</v>
      </c>
      <c r="L164" s="29"/>
      <c r="M164" s="30"/>
      <c r="O164" s="27"/>
      <c r="P164" s="27"/>
      <c r="Q164" s="27"/>
      <c r="R164" s="27"/>
      <c r="S164" s="27"/>
      <c r="T164" s="27"/>
      <c r="U164" s="27"/>
      <c r="V164" s="27"/>
      <c r="W164" s="27"/>
      <c r="X164" s="27"/>
    </row>
    <row r="165">
      <c r="A165" s="25">
        <v>37.9348872055221</v>
      </c>
      <c r="B165" s="25">
        <v>4.75440408028545</v>
      </c>
      <c r="C165" s="25">
        <v>1226.08506071953</v>
      </c>
      <c r="D165" s="25">
        <v>0.0668754005982162</v>
      </c>
      <c r="E165" s="25">
        <v>0.151627310217082</v>
      </c>
      <c r="F165" s="25">
        <v>0.862670513682758</v>
      </c>
      <c r="G165" s="25">
        <v>6.3635503546772</v>
      </c>
      <c r="H165" s="25">
        <v>15.945928560227</v>
      </c>
      <c r="I165" s="25">
        <v>53.9429533151406</v>
      </c>
      <c r="J165" s="25">
        <v>28.4955527879788</v>
      </c>
      <c r="L165" s="29"/>
      <c r="M165" s="30"/>
      <c r="O165" s="27"/>
      <c r="P165" s="27"/>
      <c r="Q165" s="27"/>
      <c r="R165" s="27"/>
      <c r="S165" s="27"/>
      <c r="T165" s="27"/>
      <c r="U165" s="27"/>
      <c r="V165" s="27"/>
      <c r="W165" s="27"/>
      <c r="X165" s="27"/>
    </row>
    <row r="166">
      <c r="A166" s="25">
        <v>8.45982857907129</v>
      </c>
      <c r="B166" s="25">
        <v>23.1186421290773</v>
      </c>
      <c r="C166" s="25">
        <v>5048.24699689568</v>
      </c>
      <c r="D166" s="25">
        <v>0.269784190539497</v>
      </c>
      <c r="E166" s="25">
        <v>0.121891598671084</v>
      </c>
      <c r="F166" s="25">
        <v>0.0895389063127736</v>
      </c>
      <c r="G166" s="25">
        <v>0.316561807779049</v>
      </c>
      <c r="H166" s="25">
        <v>20.970649667519</v>
      </c>
      <c r="I166" s="25">
        <v>94.6485163309745</v>
      </c>
      <c r="J166" s="25">
        <v>47.9246625883858</v>
      </c>
      <c r="L166" s="29"/>
      <c r="M166" s="30"/>
      <c r="O166" s="27"/>
      <c r="P166" s="27"/>
      <c r="Q166" s="27"/>
      <c r="R166" s="27"/>
      <c r="S166" s="27"/>
      <c r="T166" s="27"/>
      <c r="U166" s="27"/>
      <c r="V166" s="27"/>
      <c r="W166" s="27"/>
      <c r="X166" s="27"/>
    </row>
    <row r="167">
      <c r="A167" s="25">
        <v>65.3130225624015</v>
      </c>
      <c r="B167" s="25">
        <v>2.11130361127065</v>
      </c>
      <c r="C167" s="25">
        <v>396.03913645616</v>
      </c>
      <c r="D167" s="25">
        <v>0.11400805794098</v>
      </c>
      <c r="E167" s="25">
        <v>0.0476158592031341</v>
      </c>
      <c r="F167" s="25">
        <v>0.342406104446408</v>
      </c>
      <c r="G167" s="25">
        <v>4.28924097939362</v>
      </c>
      <c r="H167" s="25">
        <v>2.97832159368258</v>
      </c>
      <c r="I167" s="25">
        <v>19.3702739840295</v>
      </c>
      <c r="J167" s="25">
        <v>65.0449558886765</v>
      </c>
      <c r="L167" s="29"/>
      <c r="M167" s="30"/>
      <c r="O167" s="27"/>
      <c r="P167" s="27"/>
      <c r="Q167" s="27"/>
      <c r="R167" s="27"/>
      <c r="S167" s="27"/>
      <c r="T167" s="27"/>
      <c r="U167" s="27"/>
      <c r="V167" s="27"/>
      <c r="W167" s="27"/>
      <c r="X167" s="27"/>
    </row>
    <row r="168">
      <c r="A168" s="25">
        <v>33.4542116421014</v>
      </c>
      <c r="B168" s="25">
        <v>7.6711705882225</v>
      </c>
      <c r="C168" s="25">
        <v>973.491112238399</v>
      </c>
      <c r="D168" s="25">
        <v>0.762998897011787</v>
      </c>
      <c r="E168" s="25">
        <v>0.724120393733289</v>
      </c>
      <c r="F168" s="25">
        <v>0.31190530193533</v>
      </c>
      <c r="G168" s="25">
        <v>4.56091944794123</v>
      </c>
      <c r="H168" s="25">
        <v>13.8180787278833</v>
      </c>
      <c r="I168" s="25">
        <v>68.3634528541288</v>
      </c>
      <c r="J168" s="25">
        <v>36.6618051024399</v>
      </c>
      <c r="L168" s="29"/>
      <c r="M168" s="30"/>
      <c r="O168" s="27"/>
      <c r="P168" s="27"/>
      <c r="Q168" s="27"/>
      <c r="R168" s="27"/>
      <c r="S168" s="27"/>
      <c r="T168" s="27"/>
      <c r="U168" s="27"/>
      <c r="V168" s="27"/>
      <c r="W168" s="27"/>
      <c r="X168" s="27"/>
    </row>
    <row r="169">
      <c r="A169" s="25">
        <v>15.8656231879332</v>
      </c>
      <c r="B169" s="25">
        <v>21.4785687687923</v>
      </c>
      <c r="C169" s="25">
        <v>3914.15828479661</v>
      </c>
      <c r="D169" s="25">
        <v>0.222385846290513</v>
      </c>
      <c r="E169" s="25">
        <v>0.071456192396575</v>
      </c>
      <c r="F169" s="25">
        <v>0.0436616265545097</v>
      </c>
      <c r="G169" s="25">
        <v>0.806074993600944</v>
      </c>
      <c r="H169" s="25">
        <v>25.7147154738185</v>
      </c>
      <c r="I169" s="25">
        <v>102.32514999485</v>
      </c>
      <c r="J169" s="25">
        <v>52.850401169541</v>
      </c>
      <c r="L169" s="29"/>
      <c r="M169" s="30"/>
      <c r="O169" s="27"/>
      <c r="P169" s="27"/>
      <c r="Q169" s="27"/>
      <c r="R169" s="27"/>
      <c r="S169" s="27"/>
      <c r="T169" s="27"/>
      <c r="U169" s="27"/>
      <c r="V169" s="27"/>
      <c r="W169" s="27"/>
      <c r="X169" s="27"/>
    </row>
    <row r="170">
      <c r="A170" s="25">
        <v>13.1902555072037</v>
      </c>
      <c r="B170" s="25">
        <v>22.0033778997778</v>
      </c>
      <c r="C170" s="25">
        <v>2559.1538126778</v>
      </c>
      <c r="D170" s="25">
        <v>0.172866310013298</v>
      </c>
      <c r="E170" s="25">
        <v>0.110610812404588</v>
      </c>
      <c r="F170" s="25">
        <v>0.0689576200874442</v>
      </c>
      <c r="G170" s="25">
        <v>1.83185618141521</v>
      </c>
      <c r="H170" s="25">
        <v>22.6395471115143</v>
      </c>
      <c r="I170" s="25">
        <v>65.2070018962421</v>
      </c>
      <c r="J170" s="25">
        <v>40.9832820489402</v>
      </c>
      <c r="L170" s="29"/>
      <c r="M170" s="30"/>
      <c r="O170" s="27"/>
      <c r="P170" s="27"/>
      <c r="Q170" s="27"/>
      <c r="R170" s="27"/>
      <c r="S170" s="27"/>
      <c r="T170" s="27"/>
      <c r="U170" s="27"/>
      <c r="V170" s="27"/>
      <c r="W170" s="27"/>
      <c r="X170" s="27"/>
    </row>
    <row r="171">
      <c r="A171" s="25">
        <v>19.2725697426019</v>
      </c>
      <c r="B171" s="25">
        <v>10.7177405923334</v>
      </c>
      <c r="C171" s="25">
        <v>1418.52066743749</v>
      </c>
      <c r="D171" s="25">
        <v>0.104030770420678</v>
      </c>
      <c r="E171" s="25">
        <v>0.0</v>
      </c>
      <c r="F171" s="25">
        <v>0.721399577811988</v>
      </c>
      <c r="G171" s="25">
        <v>9.65143945249785</v>
      </c>
      <c r="H171" s="25">
        <v>27.7917372711029</v>
      </c>
      <c r="I171" s="25">
        <v>52.7045040554758</v>
      </c>
      <c r="J171" s="25">
        <v>33.4768945626556</v>
      </c>
      <c r="L171" s="29"/>
      <c r="M171" s="30"/>
      <c r="O171" s="27"/>
      <c r="P171" s="27"/>
      <c r="Q171" s="27"/>
      <c r="R171" s="27"/>
      <c r="S171" s="27"/>
      <c r="T171" s="27"/>
      <c r="U171" s="27"/>
      <c r="V171" s="27"/>
      <c r="W171" s="27"/>
      <c r="X171" s="27"/>
    </row>
    <row r="172">
      <c r="A172" s="25">
        <v>25.3468954321994</v>
      </c>
      <c r="B172" s="25">
        <v>9.68215493708759</v>
      </c>
      <c r="C172" s="25">
        <v>1561.08583675425</v>
      </c>
      <c r="D172" s="25">
        <v>0.0748514835802423</v>
      </c>
      <c r="E172" s="25">
        <v>0.112686983074728</v>
      </c>
      <c r="F172" s="25">
        <v>0.796769317176543</v>
      </c>
      <c r="G172" s="25">
        <v>9.62867948740902</v>
      </c>
      <c r="H172" s="25">
        <v>18.4899157673544</v>
      </c>
      <c r="I172" s="25">
        <v>68.080505395041</v>
      </c>
      <c r="J172" s="25">
        <v>27.2584600280474</v>
      </c>
      <c r="L172" s="29"/>
      <c r="M172" s="30"/>
      <c r="O172" s="27"/>
      <c r="P172" s="27"/>
      <c r="Q172" s="27"/>
      <c r="R172" s="27"/>
      <c r="S172" s="27"/>
      <c r="T172" s="27"/>
      <c r="U172" s="27"/>
      <c r="V172" s="27"/>
      <c r="W172" s="27"/>
      <c r="X172" s="27"/>
    </row>
    <row r="173">
      <c r="A173" s="25">
        <v>11.3456347062255</v>
      </c>
      <c r="B173" s="25">
        <v>18.6272308980103</v>
      </c>
      <c r="C173" s="25">
        <v>4497.25751188484</v>
      </c>
      <c r="D173" s="25">
        <v>0.181519483197818</v>
      </c>
      <c r="E173" s="25">
        <v>0.168855019695109</v>
      </c>
      <c r="F173" s="25">
        <v>0.098536859315751</v>
      </c>
      <c r="G173" s="25">
        <v>3.12605025077216</v>
      </c>
      <c r="H173" s="25">
        <v>24.7430313820575</v>
      </c>
      <c r="I173" s="25">
        <v>67.2696753179311</v>
      </c>
      <c r="J173" s="25">
        <v>45.0953720057119</v>
      </c>
      <c r="L173" s="29"/>
      <c r="M173" s="30"/>
      <c r="O173" s="27"/>
      <c r="P173" s="27"/>
      <c r="Q173" s="27"/>
      <c r="R173" s="27"/>
      <c r="S173" s="27"/>
      <c r="T173" s="27"/>
      <c r="U173" s="27"/>
      <c r="V173" s="27"/>
      <c r="W173" s="27"/>
      <c r="X173" s="27"/>
    </row>
    <row r="174">
      <c r="A174" s="25">
        <v>20.9426769913738</v>
      </c>
      <c r="B174" s="25">
        <v>8.03870098405354</v>
      </c>
      <c r="C174" s="25">
        <v>751.084676489127</v>
      </c>
      <c r="D174" s="25">
        <v>0.21872190465854</v>
      </c>
      <c r="E174" s="25">
        <v>0.0</v>
      </c>
      <c r="F174" s="25">
        <v>1.0</v>
      </c>
      <c r="G174" s="25">
        <v>9.58408521359907</v>
      </c>
      <c r="H174" s="25">
        <v>19.1161945706458</v>
      </c>
      <c r="I174" s="25">
        <v>64.4510599938371</v>
      </c>
      <c r="J174" s="25">
        <v>31.9988785240035</v>
      </c>
      <c r="L174" s="29"/>
      <c r="M174" s="30"/>
      <c r="O174" s="27"/>
      <c r="P174" s="27"/>
      <c r="Q174" s="27"/>
      <c r="R174" s="27"/>
      <c r="S174" s="27"/>
      <c r="T174" s="27"/>
      <c r="U174" s="27"/>
      <c r="V174" s="27"/>
      <c r="W174" s="27"/>
      <c r="X174" s="27"/>
    </row>
    <row r="175">
      <c r="A175" s="25">
        <v>12.6056121418966</v>
      </c>
      <c r="B175" s="25">
        <v>22.5808623438002</v>
      </c>
      <c r="C175" s="25">
        <v>4444.48357280275</v>
      </c>
      <c r="D175" s="25">
        <v>0.204479034062762</v>
      </c>
      <c r="E175" s="25">
        <v>0.140133078984633</v>
      </c>
      <c r="F175" s="25">
        <v>0.0924363358173244</v>
      </c>
      <c r="G175" s="25">
        <v>1.80509171964731</v>
      </c>
      <c r="H175" s="25">
        <v>30.6688504843353</v>
      </c>
      <c r="I175" s="25">
        <v>90.9355672228086</v>
      </c>
      <c r="J175" s="25">
        <v>18.0</v>
      </c>
      <c r="L175" s="29"/>
      <c r="M175" s="30"/>
      <c r="O175" s="27"/>
      <c r="P175" s="27"/>
      <c r="Q175" s="27"/>
      <c r="R175" s="27"/>
      <c r="S175" s="27"/>
      <c r="T175" s="27"/>
      <c r="U175" s="27"/>
      <c r="V175" s="27"/>
      <c r="W175" s="27"/>
      <c r="X175" s="27"/>
    </row>
    <row r="176">
      <c r="A176" s="25">
        <v>36.5590077652976</v>
      </c>
      <c r="B176" s="25">
        <v>10.5842085841563</v>
      </c>
      <c r="C176" s="25">
        <v>895.322810888525</v>
      </c>
      <c r="D176" s="25">
        <v>0.130574077345555</v>
      </c>
      <c r="E176" s="25">
        <v>0.1562056359993</v>
      </c>
      <c r="F176" s="25">
        <v>0.844752646212285</v>
      </c>
      <c r="G176" s="25">
        <v>6.84068349826458</v>
      </c>
      <c r="H176" s="25">
        <v>20.0352614356226</v>
      </c>
      <c r="I176" s="25">
        <v>55.2834326545871</v>
      </c>
      <c r="J176" s="25">
        <v>20.3426728464774</v>
      </c>
      <c r="L176" s="29"/>
      <c r="M176" s="30"/>
      <c r="O176" s="27"/>
      <c r="P176" s="27"/>
      <c r="Q176" s="27"/>
      <c r="R176" s="27"/>
      <c r="S176" s="27"/>
      <c r="T176" s="27"/>
      <c r="U176" s="27"/>
      <c r="V176" s="27"/>
      <c r="W176" s="27"/>
      <c r="X176" s="27"/>
    </row>
    <row r="177">
      <c r="A177" s="25">
        <v>6.86641387705017</v>
      </c>
      <c r="B177" s="25">
        <v>23.449573889531</v>
      </c>
      <c r="C177" s="25">
        <v>4762.50003630086</v>
      </c>
      <c r="D177" s="25">
        <v>0.225654271004864</v>
      </c>
      <c r="E177" s="25">
        <v>0.186254789342399</v>
      </c>
      <c r="F177" s="25">
        <v>0.125808914355747</v>
      </c>
      <c r="G177" s="25">
        <v>1.35851840477704</v>
      </c>
      <c r="H177" s="25">
        <v>27.1596127233697</v>
      </c>
      <c r="I177" s="25">
        <v>93.0040952522768</v>
      </c>
      <c r="J177" s="25">
        <v>41.0343306385085</v>
      </c>
      <c r="L177" s="29"/>
      <c r="M177" s="30"/>
      <c r="O177" s="27"/>
      <c r="P177" s="27"/>
      <c r="Q177" s="27"/>
      <c r="R177" s="27"/>
      <c r="S177" s="27"/>
      <c r="T177" s="27"/>
      <c r="U177" s="27"/>
      <c r="V177" s="27"/>
      <c r="W177" s="27"/>
      <c r="X177" s="27"/>
    </row>
    <row r="178">
      <c r="A178" s="25">
        <v>41.8891337147464</v>
      </c>
      <c r="B178" s="25">
        <v>12.1249115416031</v>
      </c>
      <c r="C178" s="25">
        <v>987.862051885395</v>
      </c>
      <c r="D178" s="25">
        <v>0.203507511915821</v>
      </c>
      <c r="E178" s="25">
        <v>0.098673937037547</v>
      </c>
      <c r="F178" s="25">
        <v>0.661812534877228</v>
      </c>
      <c r="G178" s="25">
        <v>7.75539955408435</v>
      </c>
      <c r="H178" s="25">
        <v>14.2754867759677</v>
      </c>
      <c r="I178" s="25">
        <v>58.2482172502561</v>
      </c>
      <c r="J178" s="25">
        <v>28.9883693049913</v>
      </c>
      <c r="L178" s="29"/>
      <c r="M178" s="30"/>
      <c r="O178" s="27"/>
      <c r="P178" s="27"/>
      <c r="Q178" s="27"/>
      <c r="R178" s="27"/>
      <c r="S178" s="27"/>
      <c r="T178" s="27"/>
      <c r="U178" s="27"/>
      <c r="V178" s="27"/>
      <c r="W178" s="27"/>
      <c r="X178" s="27"/>
    </row>
    <row r="179">
      <c r="A179" s="25">
        <v>28.1137011850005</v>
      </c>
      <c r="B179" s="25">
        <v>7.07611541108287</v>
      </c>
      <c r="C179" s="25">
        <v>431.915599913864</v>
      </c>
      <c r="D179" s="25">
        <v>0.821329370737294</v>
      </c>
      <c r="E179" s="25">
        <v>0.750120547536222</v>
      </c>
      <c r="F179" s="25">
        <v>0.142803795825226</v>
      </c>
      <c r="G179" s="25">
        <v>4.6592456684324</v>
      </c>
      <c r="H179" s="25">
        <v>18.7502805505062</v>
      </c>
      <c r="I179" s="25">
        <v>40.7092816275723</v>
      </c>
      <c r="J179" s="25">
        <v>32.3727522143378</v>
      </c>
      <c r="L179" s="29"/>
      <c r="M179" s="30"/>
      <c r="O179" s="27"/>
      <c r="P179" s="27"/>
      <c r="Q179" s="27"/>
      <c r="R179" s="27"/>
      <c r="S179" s="27"/>
      <c r="T179" s="27"/>
      <c r="U179" s="27"/>
      <c r="V179" s="27"/>
      <c r="W179" s="27"/>
      <c r="X179" s="27"/>
    </row>
    <row r="180">
      <c r="A180" s="25">
        <v>74.617153004254</v>
      </c>
      <c r="B180" s="25">
        <v>1.5901453483367</v>
      </c>
      <c r="C180" s="25">
        <v>524.421226289762</v>
      </c>
      <c r="D180" s="25">
        <v>0.0903086930613598</v>
      </c>
      <c r="E180" s="25">
        <v>0.0694194063475755</v>
      </c>
      <c r="F180" s="25">
        <v>0.0996137635593246</v>
      </c>
      <c r="G180" s="25">
        <v>5.95312704531384</v>
      </c>
      <c r="H180" s="25">
        <v>1.14111240771979</v>
      </c>
      <c r="I180" s="25">
        <v>15.4794610421306</v>
      </c>
      <c r="J180" s="25">
        <v>66.9416385657073</v>
      </c>
      <c r="L180" s="29"/>
      <c r="M180" s="30"/>
      <c r="O180" s="27"/>
      <c r="P180" s="27"/>
      <c r="Q180" s="27"/>
      <c r="R180" s="27"/>
      <c r="S180" s="27"/>
      <c r="T180" s="27"/>
      <c r="U180" s="27"/>
      <c r="V180" s="27"/>
      <c r="W180" s="27"/>
      <c r="X180" s="27"/>
    </row>
    <row r="181">
      <c r="A181" s="25">
        <v>16.8032929791932</v>
      </c>
      <c r="B181" s="25">
        <v>14.7647184035235</v>
      </c>
      <c r="C181" s="25">
        <v>1584.39027534334</v>
      </c>
      <c r="D181" s="25">
        <v>0.209192477237684</v>
      </c>
      <c r="E181" s="25">
        <v>0.240025559075542</v>
      </c>
      <c r="F181" s="25">
        <v>0.161947317646971</v>
      </c>
      <c r="G181" s="25">
        <v>2.20965941527462</v>
      </c>
      <c r="H181" s="25">
        <v>22.5418190718397</v>
      </c>
      <c r="I181" s="25">
        <v>93.0712259663731</v>
      </c>
      <c r="J181" s="25">
        <v>27.2116304023642</v>
      </c>
      <c r="L181" s="29"/>
      <c r="M181" s="30"/>
      <c r="O181" s="27"/>
      <c r="P181" s="27"/>
      <c r="Q181" s="27"/>
      <c r="R181" s="27"/>
      <c r="S181" s="27"/>
      <c r="T181" s="27"/>
      <c r="U181" s="27"/>
      <c r="V181" s="27"/>
      <c r="W181" s="27"/>
      <c r="X181" s="27"/>
    </row>
    <row r="182">
      <c r="A182" s="25">
        <v>47.1453665403432</v>
      </c>
      <c r="B182" s="25">
        <v>9.51641047749988</v>
      </c>
      <c r="C182" s="25">
        <v>1318.06297224966</v>
      </c>
      <c r="D182" s="25">
        <v>1.0</v>
      </c>
      <c r="E182" s="25">
        <v>0.789241596717876</v>
      </c>
      <c r="F182" s="25">
        <v>0.164372546200475</v>
      </c>
      <c r="G182" s="25">
        <v>3.974425687808</v>
      </c>
      <c r="H182" s="25">
        <v>7.92369638044352</v>
      </c>
      <c r="I182" s="25">
        <v>51.6634424269313</v>
      </c>
      <c r="J182" s="25">
        <v>35.9071756188689</v>
      </c>
      <c r="L182" s="29"/>
      <c r="M182" s="30"/>
      <c r="O182" s="27"/>
      <c r="P182" s="27"/>
      <c r="Q182" s="27"/>
      <c r="R182" s="27"/>
      <c r="S182" s="27"/>
      <c r="T182" s="27"/>
      <c r="U182" s="27"/>
      <c r="V182" s="27"/>
      <c r="W182" s="27"/>
      <c r="X182" s="27"/>
    </row>
    <row r="183">
      <c r="A183" s="25">
        <v>7.37955801032703</v>
      </c>
      <c r="B183" s="25">
        <v>20.6094194881348</v>
      </c>
      <c r="C183" s="25">
        <v>3342.06405409423</v>
      </c>
      <c r="D183" s="25">
        <v>0.256051533366223</v>
      </c>
      <c r="E183" s="25">
        <v>0.150010353245909</v>
      </c>
      <c r="F183" s="25">
        <v>0.0995349839430692</v>
      </c>
      <c r="G183" s="25">
        <v>1.67210528348708</v>
      </c>
      <c r="H183" s="25">
        <v>25.7759534192948</v>
      </c>
      <c r="I183" s="25">
        <v>93.2509826466763</v>
      </c>
      <c r="J183" s="25">
        <v>28.0629582743128</v>
      </c>
      <c r="L183" s="29"/>
      <c r="M183" s="30"/>
      <c r="O183" s="27"/>
      <c r="P183" s="27"/>
      <c r="Q183" s="27"/>
      <c r="R183" s="27"/>
      <c r="S183" s="27"/>
      <c r="T183" s="27"/>
      <c r="U183" s="27"/>
      <c r="V183" s="27"/>
      <c r="W183" s="27"/>
      <c r="X183" s="27"/>
    </row>
    <row r="184">
      <c r="A184" s="25">
        <v>76.8376702184948</v>
      </c>
      <c r="B184" s="25">
        <v>2.544410956835</v>
      </c>
      <c r="C184" s="25">
        <v>198.119361479017</v>
      </c>
      <c r="D184" s="25">
        <v>0.0590371070139251</v>
      </c>
      <c r="E184" s="25">
        <v>0.0609511650582136</v>
      </c>
      <c r="F184" s="25">
        <v>0.387438918071272</v>
      </c>
      <c r="G184" s="25">
        <v>5.39384199350288</v>
      </c>
      <c r="H184" s="25">
        <v>3.29038486705131</v>
      </c>
      <c r="I184" s="25">
        <v>21.8071836973437</v>
      </c>
      <c r="J184" s="25">
        <v>64.0383974812042</v>
      </c>
      <c r="L184" s="29"/>
      <c r="M184" s="30"/>
      <c r="O184" s="27"/>
      <c r="P184" s="27"/>
      <c r="Q184" s="27"/>
      <c r="R184" s="27"/>
      <c r="S184" s="27"/>
      <c r="T184" s="27"/>
      <c r="U184" s="27"/>
      <c r="V184" s="27"/>
      <c r="W184" s="27"/>
      <c r="X184" s="27"/>
    </row>
    <row r="185">
      <c r="A185" s="25">
        <v>97.8092969985777</v>
      </c>
      <c r="B185" s="25">
        <v>2.84516737060125</v>
      </c>
      <c r="C185" s="25">
        <v>439.804352409944</v>
      </c>
      <c r="D185" s="25">
        <v>0.0708620671194209</v>
      </c>
      <c r="E185" s="25">
        <v>0.0</v>
      </c>
      <c r="F185" s="25">
        <v>0.286572083781369</v>
      </c>
      <c r="G185" s="25">
        <v>7.13412220414991</v>
      </c>
      <c r="H185" s="25">
        <v>4.38932310336238</v>
      </c>
      <c r="I185" s="25">
        <v>22.7231798767293</v>
      </c>
      <c r="J185" s="25">
        <v>73.6529150526435</v>
      </c>
      <c r="L185" s="29"/>
      <c r="M185" s="30"/>
      <c r="O185" s="27"/>
      <c r="P185" s="27"/>
      <c r="Q185" s="27"/>
      <c r="R185" s="27"/>
      <c r="S185" s="27"/>
      <c r="T185" s="27"/>
      <c r="U185" s="27"/>
      <c r="V185" s="27"/>
      <c r="W185" s="27"/>
      <c r="X185" s="27"/>
    </row>
    <row r="186">
      <c r="A186" s="25">
        <v>41.3298638644215</v>
      </c>
      <c r="B186" s="25">
        <v>8.59194712221678</v>
      </c>
      <c r="C186" s="25">
        <v>814.704431369694</v>
      </c>
      <c r="D186" s="25">
        <v>0.768392714397295</v>
      </c>
      <c r="E186" s="25">
        <v>0.811577114977114</v>
      </c>
      <c r="F186" s="25">
        <v>0.284271910601817</v>
      </c>
      <c r="G186" s="25">
        <v>3.860553724319</v>
      </c>
      <c r="H186" s="25">
        <v>13.1992429405943</v>
      </c>
      <c r="I186" s="25">
        <v>60.0063355062791</v>
      </c>
      <c r="J186" s="25">
        <v>46.0120674892911</v>
      </c>
      <c r="L186" s="29"/>
      <c r="M186" s="30"/>
      <c r="O186" s="27"/>
      <c r="P186" s="27"/>
      <c r="Q186" s="27"/>
      <c r="R186" s="27"/>
      <c r="S186" s="27"/>
      <c r="T186" s="27"/>
      <c r="U186" s="27"/>
      <c r="V186" s="27"/>
      <c r="W186" s="27"/>
      <c r="X186" s="27"/>
    </row>
    <row r="187">
      <c r="A187" s="25">
        <v>15.5614518386645</v>
      </c>
      <c r="B187" s="25">
        <v>3.11145714058828</v>
      </c>
      <c r="C187" s="25">
        <v>762.365787627104</v>
      </c>
      <c r="D187" s="25">
        <v>0.088964378704292</v>
      </c>
      <c r="E187" s="25">
        <v>0.0745929901176344</v>
      </c>
      <c r="F187" s="25">
        <v>0.735221968118252</v>
      </c>
      <c r="G187" s="25">
        <v>7.32012738646547</v>
      </c>
      <c r="H187" s="25">
        <v>25.2623376723537</v>
      </c>
      <c r="I187" s="25">
        <v>68.2674476460232</v>
      </c>
      <c r="J187" s="25">
        <v>32.1033205172758</v>
      </c>
      <c r="L187" s="29"/>
      <c r="M187" s="30"/>
      <c r="O187" s="27"/>
      <c r="P187" s="27"/>
      <c r="Q187" s="27"/>
      <c r="R187" s="27"/>
      <c r="S187" s="27"/>
      <c r="T187" s="27"/>
      <c r="U187" s="27"/>
      <c r="V187" s="27"/>
      <c r="W187" s="27"/>
      <c r="X187" s="27"/>
    </row>
    <row r="188">
      <c r="A188" s="25">
        <v>102.444142880868</v>
      </c>
      <c r="B188" s="25">
        <v>1.29175032332884</v>
      </c>
      <c r="C188" s="25">
        <v>555.86676811304</v>
      </c>
      <c r="D188" s="25">
        <v>0.096211785673227</v>
      </c>
      <c r="E188" s="25">
        <v>0.106819224689648</v>
      </c>
      <c r="F188" s="25">
        <v>0.192814276695984</v>
      </c>
      <c r="G188" s="25">
        <v>2.6693618509759</v>
      </c>
      <c r="H188" s="25">
        <v>4.22683448703754</v>
      </c>
      <c r="I188" s="25">
        <v>18.0112762087801</v>
      </c>
      <c r="J188" s="25">
        <v>58.6856391194974</v>
      </c>
      <c r="L188" s="29"/>
      <c r="M188" s="30"/>
      <c r="O188" s="27"/>
      <c r="P188" s="27"/>
      <c r="Q188" s="27"/>
      <c r="R188" s="27"/>
      <c r="S188" s="27"/>
      <c r="T188" s="27"/>
      <c r="U188" s="27"/>
      <c r="V188" s="27"/>
      <c r="W188" s="27"/>
      <c r="X188" s="27"/>
    </row>
    <row r="189">
      <c r="A189" s="25">
        <v>21.303369187253</v>
      </c>
      <c r="B189" s="25">
        <v>13.3763043532443</v>
      </c>
      <c r="C189" s="25">
        <v>602.647026783168</v>
      </c>
      <c r="D189" s="25">
        <v>0.232133647662798</v>
      </c>
      <c r="E189" s="25">
        <v>0.0549689632676065</v>
      </c>
      <c r="F189" s="25">
        <v>0.813839192560838</v>
      </c>
      <c r="G189" s="25">
        <v>7.50707228637652</v>
      </c>
      <c r="H189" s="25">
        <v>21.0159371554117</v>
      </c>
      <c r="I189" s="25">
        <v>59.558859978858</v>
      </c>
      <c r="J189" s="25">
        <v>28.8604496574939</v>
      </c>
      <c r="L189" s="29"/>
      <c r="M189" s="30"/>
      <c r="O189" s="27"/>
      <c r="P189" s="27"/>
      <c r="Q189" s="27"/>
      <c r="R189" s="27"/>
      <c r="S189" s="27"/>
      <c r="T189" s="27"/>
      <c r="U189" s="27"/>
      <c r="V189" s="27"/>
      <c r="W189" s="27"/>
      <c r="X189" s="27"/>
    </row>
    <row r="190">
      <c r="A190" s="25">
        <v>30.4091917539572</v>
      </c>
      <c r="B190" s="25">
        <v>6.99343763265558</v>
      </c>
      <c r="C190" s="25">
        <v>1085.20608635503</v>
      </c>
      <c r="D190" s="25">
        <v>0.12433932167642</v>
      </c>
      <c r="E190" s="25">
        <v>0.088570004232999</v>
      </c>
      <c r="F190" s="25">
        <v>0.650565062539148</v>
      </c>
      <c r="G190" s="25">
        <v>4.15649951180703</v>
      </c>
      <c r="H190" s="25">
        <v>17.0448611869991</v>
      </c>
      <c r="I190" s="25">
        <v>89.1261542161291</v>
      </c>
      <c r="J190" s="25">
        <v>35.4922300152861</v>
      </c>
      <c r="L190" s="29"/>
      <c r="M190" s="30"/>
      <c r="O190" s="27"/>
      <c r="P190" s="27"/>
      <c r="Q190" s="27"/>
      <c r="R190" s="27"/>
      <c r="S190" s="27"/>
      <c r="T190" s="27"/>
      <c r="U190" s="27"/>
      <c r="V190" s="27"/>
      <c r="W190" s="27"/>
      <c r="X190" s="27"/>
    </row>
    <row r="191">
      <c r="A191" s="25">
        <v>9.90369810132802</v>
      </c>
      <c r="B191" s="25">
        <v>18.9484366831669</v>
      </c>
      <c r="C191" s="25">
        <v>4017.97271424963</v>
      </c>
      <c r="D191" s="25">
        <v>0.22735595575876</v>
      </c>
      <c r="E191" s="25">
        <v>0.0909593592345577</v>
      </c>
      <c r="F191" s="25">
        <v>0.155716084733443</v>
      </c>
      <c r="G191" s="25">
        <v>2.71538131544124</v>
      </c>
      <c r="H191" s="25">
        <v>28.5909286285396</v>
      </c>
      <c r="I191" s="25">
        <v>89.3847573880972</v>
      </c>
      <c r="J191" s="25">
        <v>35.1569332615519</v>
      </c>
      <c r="L191" s="29"/>
      <c r="M191" s="30"/>
      <c r="O191" s="27"/>
      <c r="P191" s="27"/>
      <c r="Q191" s="27"/>
      <c r="R191" s="27"/>
      <c r="S191" s="27"/>
      <c r="T191" s="27"/>
      <c r="U191" s="27"/>
      <c r="V191" s="27"/>
      <c r="W191" s="27"/>
      <c r="X191" s="27"/>
    </row>
    <row r="192">
      <c r="A192" s="25">
        <v>13.364306179834</v>
      </c>
      <c r="B192" s="25">
        <v>22.3672565349655</v>
      </c>
      <c r="C192" s="25">
        <v>3716.76743124718</v>
      </c>
      <c r="D192" s="25">
        <v>0.171319911355154</v>
      </c>
      <c r="E192" s="25">
        <v>0.155092814763099</v>
      </c>
      <c r="F192" s="25">
        <v>0.177451007574759</v>
      </c>
      <c r="G192" s="25">
        <v>0.760892924346099</v>
      </c>
      <c r="H192" s="25">
        <v>17.6623736712378</v>
      </c>
      <c r="I192" s="25">
        <v>86.6476084123651</v>
      </c>
      <c r="J192" s="25">
        <v>35.4071016148481</v>
      </c>
      <c r="L192" s="29"/>
      <c r="M192" s="30"/>
      <c r="O192" s="27"/>
      <c r="P192" s="27"/>
      <c r="Q192" s="27"/>
      <c r="R192" s="27"/>
      <c r="S192" s="27"/>
      <c r="T192" s="27"/>
      <c r="U192" s="27"/>
      <c r="V192" s="27"/>
      <c r="W192" s="27"/>
      <c r="X192" s="27"/>
    </row>
    <row r="193">
      <c r="A193" s="25">
        <v>93.4668332874081</v>
      </c>
      <c r="B193" s="25">
        <v>3.36592979686275</v>
      </c>
      <c r="C193" s="25">
        <v>366.519661804779</v>
      </c>
      <c r="D193" s="25">
        <v>0.174493171930104</v>
      </c>
      <c r="E193" s="25">
        <v>0.0159638408609393</v>
      </c>
      <c r="F193" s="25">
        <v>0.217150297521975</v>
      </c>
      <c r="G193" s="25">
        <v>4.84511785977642</v>
      </c>
      <c r="H193" s="25">
        <v>0.535216783268749</v>
      </c>
      <c r="I193" s="25">
        <v>13.5931647645434</v>
      </c>
      <c r="J193" s="25">
        <v>76.6302911600961</v>
      </c>
      <c r="L193" s="29"/>
      <c r="M193" s="30"/>
      <c r="O193" s="27"/>
      <c r="P193" s="27"/>
      <c r="Q193" s="27"/>
      <c r="R193" s="27"/>
      <c r="S193" s="27"/>
      <c r="T193" s="27"/>
      <c r="U193" s="27"/>
      <c r="V193" s="27"/>
      <c r="W193" s="27"/>
      <c r="X193" s="27"/>
    </row>
    <row r="194">
      <c r="A194" s="25">
        <v>90.4177297659192</v>
      </c>
      <c r="B194" s="25">
        <v>3.34605135857802</v>
      </c>
      <c r="C194" s="25">
        <v>210.975285224112</v>
      </c>
      <c r="D194" s="25">
        <v>0.0691819295980261</v>
      </c>
      <c r="E194" s="25">
        <v>0.0649921447870425</v>
      </c>
      <c r="F194" s="25">
        <v>0.268228490324376</v>
      </c>
      <c r="G194" s="25">
        <v>6.92246569250565</v>
      </c>
      <c r="H194" s="25">
        <v>3.83653659108768</v>
      </c>
      <c r="I194" s="25">
        <v>6.10833634450374</v>
      </c>
      <c r="J194" s="25">
        <v>66.725533449024</v>
      </c>
      <c r="L194" s="29"/>
      <c r="M194" s="30"/>
      <c r="O194" s="27"/>
      <c r="P194" s="27"/>
      <c r="Q194" s="27"/>
      <c r="R194" s="27"/>
      <c r="S194" s="27"/>
      <c r="T194" s="27"/>
      <c r="U194" s="27"/>
      <c r="V194" s="27"/>
      <c r="W194" s="27"/>
      <c r="X194" s="27"/>
    </row>
    <row r="195">
      <c r="A195" s="25">
        <v>34.9822174849678</v>
      </c>
      <c r="B195" s="25">
        <v>13.4204471155638</v>
      </c>
      <c r="C195" s="25">
        <v>1295.13517164209</v>
      </c>
      <c r="D195" s="25">
        <v>0.0992452904086065</v>
      </c>
      <c r="E195" s="25">
        <v>0.059457124439483</v>
      </c>
      <c r="F195" s="25">
        <v>0.624242214108538</v>
      </c>
      <c r="G195" s="25">
        <v>7.64897021133952</v>
      </c>
      <c r="H195" s="25">
        <v>20.3317918722316</v>
      </c>
      <c r="I195" s="25">
        <v>74.873345165891</v>
      </c>
      <c r="J195" s="25">
        <v>29.4683428345023</v>
      </c>
      <c r="L195" s="29"/>
      <c r="M195" s="30"/>
      <c r="O195" s="27"/>
      <c r="P195" s="27"/>
      <c r="Q195" s="27"/>
      <c r="R195" s="27"/>
      <c r="S195" s="27"/>
      <c r="T195" s="27"/>
      <c r="U195" s="27"/>
      <c r="V195" s="27"/>
      <c r="W195" s="27"/>
      <c r="X195" s="27"/>
    </row>
    <row r="196">
      <c r="A196" s="25">
        <v>35.2022871511773</v>
      </c>
      <c r="B196" s="25">
        <v>8.45527397674622</v>
      </c>
      <c r="C196" s="25">
        <v>749.457129510993</v>
      </c>
      <c r="D196" s="25">
        <v>1.0</v>
      </c>
      <c r="E196" s="25">
        <v>0.589233897288194</v>
      </c>
      <c r="F196" s="25">
        <v>0.2129318405227</v>
      </c>
      <c r="G196" s="25">
        <v>6.02360621922964</v>
      </c>
      <c r="H196" s="25">
        <v>15.0271993782399</v>
      </c>
      <c r="I196" s="25">
        <v>57.719531579982</v>
      </c>
      <c r="J196" s="25">
        <v>36.4255457718957</v>
      </c>
      <c r="L196" s="29"/>
      <c r="M196" s="30"/>
      <c r="O196" s="27"/>
      <c r="P196" s="27"/>
      <c r="Q196" s="27"/>
      <c r="R196" s="27"/>
      <c r="S196" s="27"/>
      <c r="T196" s="27"/>
      <c r="U196" s="27"/>
      <c r="V196" s="27"/>
      <c r="W196" s="27"/>
      <c r="X196" s="27"/>
    </row>
    <row r="197">
      <c r="A197" s="25">
        <v>37.2941247735638</v>
      </c>
      <c r="B197" s="25">
        <v>12.1185454240295</v>
      </c>
      <c r="C197" s="25">
        <v>336.441426601147</v>
      </c>
      <c r="D197" s="25">
        <v>0.953343370129632</v>
      </c>
      <c r="E197" s="25">
        <v>0.607604284754985</v>
      </c>
      <c r="F197" s="25">
        <v>0.18133433695359</v>
      </c>
      <c r="G197" s="25">
        <v>3.57075557970133</v>
      </c>
      <c r="H197" s="25">
        <v>17.3542130790828</v>
      </c>
      <c r="I197" s="25">
        <v>40.822507777395</v>
      </c>
      <c r="J197" s="25">
        <v>44.6217266608194</v>
      </c>
      <c r="L197" s="29"/>
      <c r="M197" s="30"/>
      <c r="O197" s="27"/>
      <c r="P197" s="27"/>
      <c r="Q197" s="27"/>
      <c r="R197" s="27"/>
      <c r="S197" s="27"/>
      <c r="T197" s="27"/>
      <c r="U197" s="27"/>
      <c r="V197" s="27"/>
      <c r="W197" s="27"/>
      <c r="X197" s="27"/>
    </row>
    <row r="198">
      <c r="A198" s="25">
        <v>50.2430962328685</v>
      </c>
      <c r="B198" s="25">
        <v>5.91047798622156</v>
      </c>
      <c r="C198" s="25">
        <v>947.426541902599</v>
      </c>
      <c r="D198" s="25">
        <v>0.116900891110169</v>
      </c>
      <c r="E198" s="25">
        <v>0.121294360309651</v>
      </c>
      <c r="F198" s="25">
        <v>0.751914777741575</v>
      </c>
      <c r="G198" s="25">
        <v>7.03776963643353</v>
      </c>
      <c r="H198" s="25">
        <v>20.4393614243553</v>
      </c>
      <c r="I198" s="25">
        <v>83.0434810978674</v>
      </c>
      <c r="J198" s="25">
        <v>28.6636734579089</v>
      </c>
      <c r="L198" s="29"/>
      <c r="M198" s="30"/>
      <c r="O198" s="27"/>
      <c r="P198" s="27"/>
      <c r="Q198" s="27"/>
      <c r="R198" s="27"/>
      <c r="S198" s="27"/>
      <c r="T198" s="27"/>
      <c r="U198" s="27"/>
      <c r="V198" s="27"/>
      <c r="W198" s="27"/>
      <c r="X198" s="27"/>
    </row>
    <row r="199">
      <c r="A199" s="25">
        <v>104.395158842963</v>
      </c>
      <c r="B199" s="25">
        <v>1.06009056319325</v>
      </c>
      <c r="C199" s="25">
        <v>256.534543477298</v>
      </c>
      <c r="D199" s="25">
        <v>0.123620313894018</v>
      </c>
      <c r="E199" s="25">
        <v>0.139364641141438</v>
      </c>
      <c r="F199" s="25">
        <v>0.335561334878566</v>
      </c>
      <c r="G199" s="25">
        <v>4.53041295421526</v>
      </c>
      <c r="H199" s="25">
        <v>2.99893710813503</v>
      </c>
      <c r="I199" s="25">
        <v>4.99673812824226</v>
      </c>
      <c r="J199" s="25">
        <v>69.2316072844875</v>
      </c>
      <c r="L199" s="29"/>
      <c r="M199" s="30"/>
      <c r="O199" s="27"/>
      <c r="P199" s="27"/>
      <c r="Q199" s="27"/>
      <c r="R199" s="27"/>
      <c r="S199" s="27"/>
      <c r="T199" s="27"/>
      <c r="U199" s="27"/>
      <c r="V199" s="27"/>
      <c r="W199" s="27"/>
      <c r="X199" s="27"/>
    </row>
    <row r="200">
      <c r="A200" s="25">
        <v>107.646661246468</v>
      </c>
      <c r="B200" s="25">
        <v>2.32186450075037</v>
      </c>
      <c r="C200" s="25">
        <v>329.493677836074</v>
      </c>
      <c r="D200" s="25">
        <v>0.113293911482602</v>
      </c>
      <c r="E200" s="25">
        <v>0.0625312105583761</v>
      </c>
      <c r="F200" s="25">
        <v>0.293386738537417</v>
      </c>
      <c r="G200" s="25">
        <v>8.14958268374977</v>
      </c>
      <c r="H200" s="25">
        <v>2.629461448881</v>
      </c>
      <c r="I200" s="25">
        <v>12.1332787838302</v>
      </c>
      <c r="J200" s="25">
        <v>60.4672073605538</v>
      </c>
      <c r="L200" s="29"/>
      <c r="M200" s="30"/>
      <c r="O200" s="27"/>
      <c r="P200" s="27"/>
      <c r="Q200" s="27"/>
      <c r="R200" s="27"/>
      <c r="S200" s="27"/>
      <c r="T200" s="27"/>
      <c r="U200" s="27"/>
      <c r="V200" s="27"/>
      <c r="W200" s="27"/>
      <c r="X200" s="27"/>
    </row>
    <row r="201">
      <c r="A201" s="25">
        <v>104.883839429998</v>
      </c>
      <c r="B201" s="25">
        <v>2.72816374017284</v>
      </c>
      <c r="C201" s="25">
        <v>302.594044251786</v>
      </c>
      <c r="D201" s="25">
        <v>0.16606520161365</v>
      </c>
      <c r="E201" s="25">
        <v>0.136784120180545</v>
      </c>
      <c r="F201" s="25">
        <v>0.239957643426129</v>
      </c>
      <c r="G201" s="25">
        <v>2.20019007295907</v>
      </c>
      <c r="H201" s="25">
        <v>4.51127053475538</v>
      </c>
      <c r="I201" s="25">
        <v>9.52296139391996</v>
      </c>
      <c r="J201" s="25">
        <v>70.5343791941393</v>
      </c>
      <c r="L201" s="29"/>
      <c r="M201" s="30"/>
      <c r="O201" s="27"/>
      <c r="P201" s="27"/>
      <c r="Q201" s="27"/>
      <c r="R201" s="27"/>
      <c r="S201" s="27"/>
      <c r="T201" s="27"/>
      <c r="U201" s="27"/>
      <c r="V201" s="27"/>
      <c r="W201" s="27"/>
      <c r="X201" s="27"/>
    </row>
    <row r="202">
      <c r="A202" s="25">
        <v>10.2989618228816</v>
      </c>
      <c r="B202" s="25">
        <v>12.6777920148979</v>
      </c>
      <c r="C202" s="25">
        <v>597.207017679804</v>
      </c>
      <c r="D202" s="25">
        <v>0.186538205953326</v>
      </c>
      <c r="E202" s="25">
        <v>0.100713653391821</v>
      </c>
      <c r="F202" s="25">
        <v>0.654606058060335</v>
      </c>
      <c r="G202" s="25">
        <v>7.38944553060982</v>
      </c>
      <c r="H202" s="25">
        <v>21.4315922847835</v>
      </c>
      <c r="I202" s="25">
        <v>66.0589445311523</v>
      </c>
      <c r="J202" s="25">
        <v>34.0908908633073</v>
      </c>
      <c r="L202" s="29"/>
      <c r="M202" s="30"/>
      <c r="O202" s="27"/>
      <c r="P202" s="27"/>
      <c r="Q202" s="27"/>
      <c r="R202" s="27"/>
      <c r="S202" s="27"/>
      <c r="T202" s="27"/>
      <c r="U202" s="27"/>
      <c r="V202" s="27"/>
      <c r="W202" s="27"/>
      <c r="X202" s="27"/>
    </row>
    <row r="203">
      <c r="A203" s="25">
        <v>19.8822029225774</v>
      </c>
      <c r="B203" s="25">
        <v>13.7430335531557</v>
      </c>
      <c r="C203" s="25">
        <v>5293.77005997489</v>
      </c>
      <c r="D203" s="25">
        <v>0.20521779687616</v>
      </c>
      <c r="E203" s="25">
        <v>0.105060797583843</v>
      </c>
      <c r="F203" s="25">
        <v>0.0334843187130505</v>
      </c>
      <c r="G203" s="25">
        <v>1.81087960922296</v>
      </c>
      <c r="H203" s="25">
        <v>29.6082505596223</v>
      </c>
      <c r="I203" s="25">
        <v>83.7245087962246</v>
      </c>
      <c r="J203" s="25">
        <v>47.0892394419787</v>
      </c>
      <c r="L203" s="29"/>
      <c r="M203" s="30"/>
      <c r="O203" s="27"/>
      <c r="P203" s="27"/>
      <c r="Q203" s="27"/>
      <c r="R203" s="27"/>
      <c r="S203" s="27"/>
      <c r="T203" s="27"/>
      <c r="U203" s="27"/>
      <c r="V203" s="27"/>
      <c r="W203" s="27"/>
      <c r="X203" s="27"/>
    </row>
    <row r="204">
      <c r="A204" s="25">
        <v>2.7441215497422</v>
      </c>
      <c r="B204" s="25">
        <v>19.9516442086157</v>
      </c>
      <c r="C204" s="25">
        <v>2998.0852444695</v>
      </c>
      <c r="D204" s="25">
        <v>0.218181594131248</v>
      </c>
      <c r="E204" s="25">
        <v>0.194344369504865</v>
      </c>
      <c r="F204" s="25">
        <v>0.0789619103159473</v>
      </c>
      <c r="G204" s="25">
        <v>0.0</v>
      </c>
      <c r="H204" s="25">
        <v>25.9947407339824</v>
      </c>
      <c r="I204" s="25">
        <v>89.3673855173351</v>
      </c>
      <c r="J204" s="25">
        <v>38.2343580396935</v>
      </c>
      <c r="L204" s="29"/>
      <c r="M204" s="30"/>
      <c r="O204" s="27"/>
      <c r="P204" s="27"/>
      <c r="Q204" s="27"/>
      <c r="R204" s="27"/>
      <c r="S204" s="27"/>
      <c r="T204" s="27"/>
      <c r="U204" s="27"/>
      <c r="V204" s="27"/>
      <c r="W204" s="27"/>
      <c r="X204" s="27"/>
    </row>
    <row r="205">
      <c r="A205" s="25">
        <v>114.715643836443</v>
      </c>
      <c r="B205" s="25">
        <v>1.39341948052642</v>
      </c>
      <c r="C205" s="25">
        <v>502.032415817567</v>
      </c>
      <c r="D205" s="25">
        <v>0.159625375623898</v>
      </c>
      <c r="E205" s="25">
        <v>0.00885649663973932</v>
      </c>
      <c r="F205" s="25">
        <v>0.331965182591897</v>
      </c>
      <c r="G205" s="25">
        <v>4.24373025348849</v>
      </c>
      <c r="H205" s="25">
        <v>2.87771599034753</v>
      </c>
      <c r="I205" s="25">
        <v>17.7814118683066</v>
      </c>
      <c r="J205" s="25">
        <v>61.5894000512051</v>
      </c>
      <c r="L205" s="29"/>
      <c r="M205" s="30"/>
      <c r="O205" s="27"/>
      <c r="P205" s="27"/>
      <c r="Q205" s="27"/>
      <c r="R205" s="27"/>
      <c r="S205" s="27"/>
      <c r="T205" s="27"/>
      <c r="U205" s="27"/>
      <c r="V205" s="27"/>
      <c r="W205" s="27"/>
      <c r="X205" s="27"/>
    </row>
    <row r="206">
      <c r="A206" s="25">
        <v>23.2429192083838</v>
      </c>
      <c r="B206" s="25">
        <v>10.102457252464</v>
      </c>
      <c r="C206" s="25">
        <v>628.188515284299</v>
      </c>
      <c r="D206" s="25">
        <v>0.0957087435557407</v>
      </c>
      <c r="E206" s="25">
        <v>0.133968664147825</v>
      </c>
      <c r="F206" s="25">
        <v>0.635120596484134</v>
      </c>
      <c r="G206" s="25">
        <v>8.99946875136381</v>
      </c>
      <c r="H206" s="25">
        <v>20.3129564642697</v>
      </c>
      <c r="I206" s="25">
        <v>47.741932712094</v>
      </c>
      <c r="J206" s="25">
        <v>25.2570474336504</v>
      </c>
      <c r="L206" s="29"/>
      <c r="M206" s="30"/>
      <c r="O206" s="27"/>
      <c r="P206" s="27"/>
      <c r="Q206" s="27"/>
      <c r="R206" s="27"/>
      <c r="S206" s="27"/>
      <c r="T206" s="27"/>
      <c r="U206" s="27"/>
      <c r="V206" s="27"/>
      <c r="W206" s="27"/>
      <c r="X206" s="27"/>
    </row>
    <row r="207">
      <c r="A207" s="25">
        <v>15.9705470152368</v>
      </c>
      <c r="B207" s="25">
        <v>16.0753378754412</v>
      </c>
      <c r="C207" s="25">
        <v>3628.47659015248</v>
      </c>
      <c r="D207" s="25">
        <v>0.223103044662594</v>
      </c>
      <c r="E207" s="25">
        <v>0.189169525464129</v>
      </c>
      <c r="F207" s="25">
        <v>0.0874230556977752</v>
      </c>
      <c r="G207" s="25">
        <v>1.40248980530835</v>
      </c>
      <c r="H207" s="25">
        <v>32.1118493084925</v>
      </c>
      <c r="I207" s="25">
        <v>102.388996637975</v>
      </c>
      <c r="J207" s="25">
        <v>42.8308644062543</v>
      </c>
      <c r="L207" s="29"/>
      <c r="M207" s="30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>
      <c r="A208" s="25">
        <v>10.4265907128251</v>
      </c>
      <c r="B208" s="25">
        <v>16.7669371134362</v>
      </c>
      <c r="C208" s="25">
        <v>3335.64447475474</v>
      </c>
      <c r="D208" s="25">
        <v>0.226125705263287</v>
      </c>
      <c r="E208" s="25">
        <v>0.170919911044434</v>
      </c>
      <c r="F208" s="25">
        <v>0.170079929647321</v>
      </c>
      <c r="G208" s="25">
        <v>2.65045009253613</v>
      </c>
      <c r="H208" s="25">
        <v>17.4845984912009</v>
      </c>
      <c r="I208" s="25">
        <v>95.5194761772291</v>
      </c>
      <c r="J208" s="25">
        <v>27.0155149814846</v>
      </c>
      <c r="L208" s="29"/>
      <c r="M208" s="30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>
      <c r="A209" s="25">
        <v>26.1602872804764</v>
      </c>
      <c r="B209" s="25">
        <v>10.750600618755</v>
      </c>
      <c r="C209" s="25">
        <v>1398.91687244599</v>
      </c>
      <c r="D209" s="25">
        <v>0.305495927800268</v>
      </c>
      <c r="E209" s="25">
        <v>0.130336152956809</v>
      </c>
      <c r="F209" s="25">
        <v>0.731680338127961</v>
      </c>
      <c r="G209" s="25">
        <v>8.80175847272082</v>
      </c>
      <c r="H209" s="25">
        <v>22.4382771293691</v>
      </c>
      <c r="I209" s="25">
        <v>61.793323744428</v>
      </c>
      <c r="J209" s="25">
        <v>42.5664794913862</v>
      </c>
      <c r="L209" s="29"/>
      <c r="M209" s="30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>
      <c r="A210" s="25">
        <v>11.150353795957</v>
      </c>
      <c r="B210" s="25">
        <v>21.9909723563655</v>
      </c>
      <c r="C210" s="25">
        <v>4532.73940164356</v>
      </c>
      <c r="D210" s="25">
        <v>0.221079330530722</v>
      </c>
      <c r="E210" s="25">
        <v>0.19194702502348</v>
      </c>
      <c r="F210" s="25">
        <v>0.0691373406726538</v>
      </c>
      <c r="G210" s="25">
        <v>1.44169824605396</v>
      </c>
      <c r="H210" s="25">
        <v>19.4992288351415</v>
      </c>
      <c r="I210" s="25">
        <v>89.3950123062022</v>
      </c>
      <c r="J210" s="25">
        <v>41.2314920280969</v>
      </c>
      <c r="L210" s="29"/>
      <c r="M210" s="30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>
      <c r="A211" s="25">
        <v>12.2888643307594</v>
      </c>
      <c r="B211" s="25">
        <v>26.6979697333901</v>
      </c>
      <c r="C211" s="25">
        <v>3995.52318493676</v>
      </c>
      <c r="D211" s="25">
        <v>0.233437082779625</v>
      </c>
      <c r="E211" s="25">
        <v>0.0954149561930342</v>
      </c>
      <c r="F211" s="25">
        <v>0.0806450148762799</v>
      </c>
      <c r="G211" s="25">
        <v>2.69553775756577</v>
      </c>
      <c r="H211" s="25">
        <v>29.2455105537157</v>
      </c>
      <c r="I211" s="25">
        <v>82.0603305233581</v>
      </c>
      <c r="J211" s="25">
        <v>34.4272059851354</v>
      </c>
      <c r="L211" s="29"/>
      <c r="M211" s="30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>
      <c r="A212" s="25">
        <v>14.8212625331919</v>
      </c>
      <c r="B212" s="25">
        <v>8.92891239758017</v>
      </c>
      <c r="C212" s="25">
        <v>1122.59579087994</v>
      </c>
      <c r="D212" s="25">
        <v>0.178760250805328</v>
      </c>
      <c r="E212" s="25">
        <v>0.12503328606906</v>
      </c>
      <c r="F212" s="25">
        <v>0.754977368718096</v>
      </c>
      <c r="G212" s="25">
        <v>8.01059473794226</v>
      </c>
      <c r="H212" s="25">
        <v>14.6983943026327</v>
      </c>
      <c r="I212" s="25">
        <v>71.9882842020253</v>
      </c>
      <c r="J212" s="25">
        <v>32.9468106107257</v>
      </c>
      <c r="L212" s="29"/>
      <c r="M212" s="30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>
      <c r="A213" s="25">
        <v>34.9201884799279</v>
      </c>
      <c r="B213" s="25">
        <v>8.42189547199725</v>
      </c>
      <c r="C213" s="25">
        <v>361.664270032188</v>
      </c>
      <c r="D213" s="25">
        <v>0.204857635587684</v>
      </c>
      <c r="E213" s="25">
        <v>0.0760581271995798</v>
      </c>
      <c r="F213" s="25">
        <v>0.663722423595687</v>
      </c>
      <c r="G213" s="25">
        <v>9.04021836787099</v>
      </c>
      <c r="H213" s="25">
        <v>16.0399368004043</v>
      </c>
      <c r="I213" s="25">
        <v>75.5993638404662</v>
      </c>
      <c r="J213" s="25">
        <v>34.3190416470368</v>
      </c>
      <c r="L213" s="29"/>
      <c r="M213" s="30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>
      <c r="A214" s="25">
        <v>36.8356932320047</v>
      </c>
      <c r="B214" s="25">
        <v>5.90213286639839</v>
      </c>
      <c r="C214" s="25">
        <v>1202.9859963466</v>
      </c>
      <c r="D214" s="25">
        <v>0.163062526561692</v>
      </c>
      <c r="E214" s="25">
        <v>0.0815361430376898</v>
      </c>
      <c r="F214" s="25">
        <v>0.764338846734225</v>
      </c>
      <c r="G214" s="25">
        <v>5.33564715065252</v>
      </c>
      <c r="H214" s="25">
        <v>20.0432640574033</v>
      </c>
      <c r="I214" s="25">
        <v>54.7062849181792</v>
      </c>
      <c r="J214" s="25">
        <v>20.5313079990952</v>
      </c>
      <c r="L214" s="29"/>
      <c r="M214" s="30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>
      <c r="A215" s="25">
        <v>2.38820406891054</v>
      </c>
      <c r="B215" s="25">
        <v>24.4507534999597</v>
      </c>
      <c r="C215" s="25">
        <v>3496.58928504576</v>
      </c>
      <c r="D215" s="25">
        <v>0.276686385495824</v>
      </c>
      <c r="E215" s="25">
        <v>0.123209926847385</v>
      </c>
      <c r="F215" s="25">
        <v>0.0146321021203526</v>
      </c>
      <c r="G215" s="25">
        <v>0.88347556005134</v>
      </c>
      <c r="H215" s="25">
        <v>31.1790581000346</v>
      </c>
      <c r="I215" s="25">
        <v>83.4410182206333</v>
      </c>
      <c r="J215" s="25">
        <v>30.6137016280751</v>
      </c>
      <c r="L215" s="29"/>
      <c r="M215" s="30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>
      <c r="A216" s="25">
        <v>31.6001822585278</v>
      </c>
      <c r="B216" s="25">
        <v>11.5053482085026</v>
      </c>
      <c r="C216" s="25">
        <v>1179.34970397561</v>
      </c>
      <c r="D216" s="25">
        <v>0.222424961494646</v>
      </c>
      <c r="E216" s="25">
        <v>0.0820115677105457</v>
      </c>
      <c r="F216" s="25">
        <v>0.617395231391796</v>
      </c>
      <c r="G216" s="25">
        <v>7.37980225831508</v>
      </c>
      <c r="H216" s="25">
        <v>19.3014025329144</v>
      </c>
      <c r="I216" s="25">
        <v>55.3624107378938</v>
      </c>
      <c r="J216" s="25">
        <v>23.2999435957347</v>
      </c>
      <c r="L216" s="29"/>
      <c r="M216" s="30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>
      <c r="A217" s="25">
        <v>11.7189394077494</v>
      </c>
      <c r="B217" s="25">
        <v>19.8053905937181</v>
      </c>
      <c r="C217" s="25">
        <v>4026.23759632926</v>
      </c>
      <c r="D217" s="25">
        <v>0.162075233264996</v>
      </c>
      <c r="E217" s="25">
        <v>0.138479964289711</v>
      </c>
      <c r="F217" s="25">
        <v>0.0537883427865847</v>
      </c>
      <c r="G217" s="25">
        <v>2.89019841112478</v>
      </c>
      <c r="H217" s="25">
        <v>30.1762466736187</v>
      </c>
      <c r="I217" s="25">
        <v>66.538121377619</v>
      </c>
      <c r="J217" s="25">
        <v>27.5639131184607</v>
      </c>
      <c r="L217" s="29"/>
      <c r="M217" s="30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>
      <c r="A218" s="25">
        <v>17.5520611736488</v>
      </c>
      <c r="B218" s="25">
        <v>6.0499281967793</v>
      </c>
      <c r="C218" s="25">
        <v>974.968609062891</v>
      </c>
      <c r="D218" s="25">
        <v>0.655035478030147</v>
      </c>
      <c r="E218" s="25">
        <v>0.657814018687468</v>
      </c>
      <c r="F218" s="25">
        <v>0.129722983954295</v>
      </c>
      <c r="G218" s="25">
        <v>4.20726732939894</v>
      </c>
      <c r="H218" s="25">
        <v>15.277377348145</v>
      </c>
      <c r="I218" s="25">
        <v>51.3391493599529</v>
      </c>
      <c r="J218" s="25">
        <v>41.7682087213939</v>
      </c>
      <c r="L218" s="29"/>
      <c r="M218" s="30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>
      <c r="A219" s="25">
        <v>24.5331991541273</v>
      </c>
      <c r="B219" s="25">
        <v>9.18503466902184</v>
      </c>
      <c r="C219" s="25">
        <v>1318.36302257463</v>
      </c>
      <c r="D219" s="25">
        <v>0.217023052589517</v>
      </c>
      <c r="E219" s="25">
        <v>0.0350209381536201</v>
      </c>
      <c r="F219" s="25">
        <v>0.832973241787917</v>
      </c>
      <c r="G219" s="25">
        <v>9.21709483173738</v>
      </c>
      <c r="H219" s="25">
        <v>12.2586835562369</v>
      </c>
      <c r="I219" s="25">
        <v>73.1877764375486</v>
      </c>
      <c r="J219" s="25">
        <v>40.7655234288878</v>
      </c>
      <c r="L219" s="29"/>
      <c r="M219" s="30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>
      <c r="A220" s="25">
        <v>18.7745519375558</v>
      </c>
      <c r="B220" s="25">
        <v>7.2474915369572</v>
      </c>
      <c r="C220" s="25">
        <v>1154.41536671087</v>
      </c>
      <c r="D220" s="25">
        <v>0.163574765541282</v>
      </c>
      <c r="E220" s="25">
        <v>0.127573813761976</v>
      </c>
      <c r="F220" s="25">
        <v>0.784058921640049</v>
      </c>
      <c r="G220" s="25">
        <v>8.58604388139221</v>
      </c>
      <c r="H220" s="25">
        <v>11.3676393584445</v>
      </c>
      <c r="I220" s="25">
        <v>75.4731770662144</v>
      </c>
      <c r="J220" s="25">
        <v>38.1871299469944</v>
      </c>
      <c r="L220" s="29"/>
      <c r="M220" s="30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>
      <c r="A221" s="25">
        <v>85.4121851186394</v>
      </c>
      <c r="B221" s="25">
        <v>2.9347845752792</v>
      </c>
      <c r="C221" s="25">
        <v>170.333874616641</v>
      </c>
      <c r="D221" s="25">
        <v>0.125712737800891</v>
      </c>
      <c r="E221" s="25">
        <v>0.102882297668565</v>
      </c>
      <c r="F221" s="25">
        <v>0.293780898300068</v>
      </c>
      <c r="G221" s="25">
        <v>6.68653003980575</v>
      </c>
      <c r="H221" s="25">
        <v>2.49888415353008</v>
      </c>
      <c r="I221" s="25">
        <v>19.5168474071488</v>
      </c>
      <c r="J221" s="25">
        <v>57.8623496291551</v>
      </c>
      <c r="L221" s="29"/>
      <c r="M221" s="30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>
      <c r="A222" s="25">
        <v>29.7644784912576</v>
      </c>
      <c r="B222" s="25">
        <v>9.47693722629149</v>
      </c>
      <c r="C222" s="25">
        <v>956.326980510235</v>
      </c>
      <c r="D222" s="25">
        <v>0.131523653558332</v>
      </c>
      <c r="E222" s="25">
        <v>0.0934263702164166</v>
      </c>
      <c r="F222" s="25">
        <v>0.83260471714415</v>
      </c>
      <c r="G222" s="25">
        <v>7.34485364414267</v>
      </c>
      <c r="H222" s="25">
        <v>9.9671144963066</v>
      </c>
      <c r="I222" s="25">
        <v>82.4958390420542</v>
      </c>
      <c r="J222" s="25">
        <v>39.6701785508334</v>
      </c>
      <c r="L222" s="29"/>
      <c r="M222" s="30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>
      <c r="A223" s="25">
        <v>17.0773730489438</v>
      </c>
      <c r="B223" s="25">
        <v>12.0691234157355</v>
      </c>
      <c r="C223" s="25">
        <v>774.256307362164</v>
      </c>
      <c r="D223" s="25">
        <v>0.163174360766552</v>
      </c>
      <c r="E223" s="25">
        <v>0.114711206450674</v>
      </c>
      <c r="F223" s="25">
        <v>0.726559219968367</v>
      </c>
      <c r="G223" s="25">
        <v>6.8243515016204</v>
      </c>
      <c r="H223" s="25">
        <v>14.5472947384187</v>
      </c>
      <c r="I223" s="25">
        <v>55.8380808451875</v>
      </c>
      <c r="J223" s="25">
        <v>24.1772445423868</v>
      </c>
      <c r="L223" s="29"/>
      <c r="M223" s="30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>
      <c r="A224" s="25">
        <v>9.66410854975322</v>
      </c>
      <c r="B224" s="25">
        <v>17.1369600435569</v>
      </c>
      <c r="C224" s="25">
        <v>4545.64165257009</v>
      </c>
      <c r="D224" s="25">
        <v>0.274362307766796</v>
      </c>
      <c r="E224" s="25">
        <v>0.120997337931497</v>
      </c>
      <c r="F224" s="25">
        <v>0.111970225026768</v>
      </c>
      <c r="G224" s="25">
        <v>2.49968511030293</v>
      </c>
      <c r="H224" s="25">
        <v>27.3600113545963</v>
      </c>
      <c r="I224" s="25">
        <v>85.7595526791608</v>
      </c>
      <c r="J224" s="25">
        <v>40.9414593468777</v>
      </c>
      <c r="L224" s="29"/>
      <c r="M224" s="30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>
      <c r="A225" s="25">
        <v>47.2337342902098</v>
      </c>
      <c r="B225" s="25">
        <v>4.2870127330181</v>
      </c>
      <c r="C225" s="25">
        <v>1260.74681931678</v>
      </c>
      <c r="D225" s="25">
        <v>0.888729083726674</v>
      </c>
      <c r="E225" s="25">
        <v>0.673671389582141</v>
      </c>
      <c r="F225" s="25">
        <v>0.202655648481332</v>
      </c>
      <c r="G225" s="25">
        <v>4.68332899281106</v>
      </c>
      <c r="H225" s="25">
        <v>14.1627447216825</v>
      </c>
      <c r="I225" s="25">
        <v>72.8757365731921</v>
      </c>
      <c r="J225" s="25">
        <v>63.6387249461936</v>
      </c>
      <c r="L225" s="29"/>
      <c r="M225" s="30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>
      <c r="A226" s="25">
        <v>28.2102095104752</v>
      </c>
      <c r="B226" s="25">
        <v>3.85686619053867</v>
      </c>
      <c r="C226" s="25">
        <v>1091.14557868146</v>
      </c>
      <c r="D226" s="25">
        <v>0.872156250512614</v>
      </c>
      <c r="E226" s="25">
        <v>0.726913362615523</v>
      </c>
      <c r="F226" s="25">
        <v>0.301728246432472</v>
      </c>
      <c r="G226" s="25">
        <v>2.66139420027675</v>
      </c>
      <c r="H226" s="25">
        <v>17.7716744921264</v>
      </c>
      <c r="I226" s="25">
        <v>52.7296701508932</v>
      </c>
      <c r="J226" s="25">
        <v>57.1937790620729</v>
      </c>
      <c r="L226" s="29"/>
      <c r="M226" s="30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>
      <c r="A227" s="25">
        <v>19.9625767658405</v>
      </c>
      <c r="B227" s="25">
        <v>16.9333736488666</v>
      </c>
      <c r="C227" s="25">
        <v>3560.35429127313</v>
      </c>
      <c r="D227" s="25">
        <v>0.24297939434899</v>
      </c>
      <c r="E227" s="25">
        <v>0.130643467510524</v>
      </c>
      <c r="F227" s="25">
        <v>0.097729439103388</v>
      </c>
      <c r="G227" s="25">
        <v>2.02538842054241</v>
      </c>
      <c r="H227" s="25">
        <v>15.4016342190117</v>
      </c>
      <c r="I227" s="25">
        <v>84.8616225390576</v>
      </c>
      <c r="J227" s="25">
        <v>29.4821778074866</v>
      </c>
      <c r="L227" s="29"/>
      <c r="M227" s="30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>
      <c r="A228" s="25">
        <v>80.1375435520045</v>
      </c>
      <c r="B228" s="25">
        <v>5.16544800520322</v>
      </c>
      <c r="C228" s="25">
        <v>211.523965858111</v>
      </c>
      <c r="D228" s="25">
        <v>0.140660259337398</v>
      </c>
      <c r="E228" s="25">
        <v>0.0688414827867276</v>
      </c>
      <c r="F228" s="25">
        <v>0.272023983150416</v>
      </c>
      <c r="G228" s="25">
        <v>6.18555784407756</v>
      </c>
      <c r="H228" s="25">
        <v>3.51007694185333</v>
      </c>
      <c r="I228" s="25">
        <v>19.5649039777562</v>
      </c>
      <c r="J228" s="25">
        <v>71.77729262373</v>
      </c>
      <c r="L228" s="29"/>
      <c r="M228" s="30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>
      <c r="A229" s="25">
        <v>35.0303742522501</v>
      </c>
      <c r="B229" s="25">
        <v>6.16328979647674</v>
      </c>
      <c r="C229" s="25">
        <v>674.45484203266</v>
      </c>
      <c r="D229" s="25">
        <v>0.717458947002104</v>
      </c>
      <c r="E229" s="25">
        <v>1.0</v>
      </c>
      <c r="F229" s="25">
        <v>0.287127570651575</v>
      </c>
      <c r="G229" s="25">
        <v>2.64892563379197</v>
      </c>
      <c r="H229" s="25">
        <v>9.71016817302572</v>
      </c>
      <c r="I229" s="25">
        <v>65.7823927406219</v>
      </c>
      <c r="J229" s="25">
        <v>45.4726479737796</v>
      </c>
      <c r="L229" s="29"/>
      <c r="M229" s="30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>
      <c r="A230" s="25">
        <v>100.977676706347</v>
      </c>
      <c r="B230" s="25">
        <v>2.61756630966945</v>
      </c>
      <c r="C230" s="25">
        <v>381.181860999564</v>
      </c>
      <c r="D230" s="25">
        <v>0.116393976207967</v>
      </c>
      <c r="E230" s="25">
        <v>0.0834357202517332</v>
      </c>
      <c r="F230" s="25">
        <v>0.0780699627252464</v>
      </c>
      <c r="G230" s="25">
        <v>4.6553005541372</v>
      </c>
      <c r="H230" s="25">
        <v>1.72289034860952</v>
      </c>
      <c r="I230" s="25">
        <v>16.401691351268</v>
      </c>
      <c r="J230" s="25">
        <v>85.8968130182238</v>
      </c>
      <c r="L230" s="29"/>
      <c r="M230" s="30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>
      <c r="A231" s="25">
        <v>33.674816654743</v>
      </c>
      <c r="B231" s="25">
        <v>9.0594109414828</v>
      </c>
      <c r="C231" s="25">
        <v>1130.45037549431</v>
      </c>
      <c r="D231" s="25">
        <v>0.17413439436046</v>
      </c>
      <c r="E231" s="25">
        <v>0.121004724522592</v>
      </c>
      <c r="F231" s="25">
        <v>0.810685059321567</v>
      </c>
      <c r="G231" s="25">
        <v>11.0848153472443</v>
      </c>
      <c r="H231" s="25">
        <v>12.3455578233704</v>
      </c>
      <c r="I231" s="25">
        <v>69.7363207681145</v>
      </c>
      <c r="J231" s="25">
        <v>23.5153320901292</v>
      </c>
      <c r="L231" s="29"/>
      <c r="M231" s="30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>
      <c r="A232" s="25">
        <v>101.110252926844</v>
      </c>
      <c r="B232" s="25">
        <v>1.62197023277085</v>
      </c>
      <c r="C232" s="25">
        <v>337.394977959237</v>
      </c>
      <c r="D232" s="25">
        <v>0.0852455042881046</v>
      </c>
      <c r="E232" s="25">
        <v>0.119032668773788</v>
      </c>
      <c r="F232" s="25">
        <v>0.391845444394241</v>
      </c>
      <c r="G232" s="25">
        <v>3.13142393533042</v>
      </c>
      <c r="H232" s="25">
        <v>3.08240116649977</v>
      </c>
      <c r="I232" s="25">
        <v>9.32336116200662</v>
      </c>
      <c r="J232" s="25">
        <v>56.1904656252726</v>
      </c>
      <c r="L232" s="29"/>
      <c r="M232" s="30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  <row r="233">
      <c r="A233" s="25">
        <v>27.8298294957562</v>
      </c>
      <c r="B233" s="25">
        <v>9.07455163463254</v>
      </c>
      <c r="C233" s="25">
        <v>1506.67912158638</v>
      </c>
      <c r="D233" s="25">
        <v>0.171647991268034</v>
      </c>
      <c r="E233" s="25">
        <v>0.0311191249622881</v>
      </c>
      <c r="F233" s="25">
        <v>0.693522599582905</v>
      </c>
      <c r="G233" s="25">
        <v>9.53207494314409</v>
      </c>
      <c r="H233" s="25">
        <v>28.4422138643496</v>
      </c>
      <c r="I233" s="25">
        <v>49.1401668776204</v>
      </c>
      <c r="J233" s="25">
        <v>18.0</v>
      </c>
      <c r="L233" s="29"/>
      <c r="M233" s="30"/>
      <c r="O233" s="27"/>
      <c r="P233" s="27"/>
      <c r="Q233" s="27"/>
      <c r="R233" s="27"/>
      <c r="S233" s="27"/>
      <c r="T233" s="27"/>
      <c r="U233" s="27"/>
      <c r="V233" s="27"/>
      <c r="W233" s="27"/>
      <c r="X233" s="27"/>
    </row>
    <row r="234">
      <c r="A234" s="25">
        <v>48.7096517537178</v>
      </c>
      <c r="B234" s="25">
        <v>11.1688425321127</v>
      </c>
      <c r="C234" s="25">
        <v>682.926817030908</v>
      </c>
      <c r="D234" s="25">
        <v>0.176731454306121</v>
      </c>
      <c r="E234" s="25">
        <v>0.0</v>
      </c>
      <c r="F234" s="25">
        <v>0.750337550659716</v>
      </c>
      <c r="G234" s="25">
        <v>8.49173175926462</v>
      </c>
      <c r="H234" s="25">
        <v>22.6213506976891</v>
      </c>
      <c r="I234" s="25">
        <v>54.8610404770746</v>
      </c>
      <c r="J234" s="25">
        <v>30.5998101298235</v>
      </c>
      <c r="L234" s="29"/>
      <c r="M234" s="30"/>
      <c r="O234" s="27"/>
      <c r="P234" s="27"/>
      <c r="Q234" s="27"/>
      <c r="R234" s="27"/>
      <c r="S234" s="27"/>
      <c r="T234" s="27"/>
      <c r="U234" s="27"/>
      <c r="V234" s="27"/>
      <c r="W234" s="27"/>
      <c r="X234" s="27"/>
    </row>
    <row r="235">
      <c r="A235" s="25">
        <v>26.1186306091061</v>
      </c>
      <c r="B235" s="25">
        <v>8.76615126702295</v>
      </c>
      <c r="C235" s="25">
        <v>731.396103291092</v>
      </c>
      <c r="D235" s="25">
        <v>0.759189916083978</v>
      </c>
      <c r="E235" s="25">
        <v>0.650418460520977</v>
      </c>
      <c r="F235" s="25">
        <v>0.245579536927656</v>
      </c>
      <c r="G235" s="25">
        <v>4.85845111665666</v>
      </c>
      <c r="H235" s="25">
        <v>14.0615177201703</v>
      </c>
      <c r="I235" s="25">
        <v>60.4588559395203</v>
      </c>
      <c r="J235" s="25">
        <v>25.5140858536645</v>
      </c>
      <c r="L235" s="29"/>
      <c r="M235" s="30"/>
      <c r="O235" s="27"/>
      <c r="P235" s="27"/>
      <c r="Q235" s="27"/>
      <c r="R235" s="27"/>
      <c r="S235" s="27"/>
      <c r="T235" s="27"/>
      <c r="U235" s="27"/>
      <c r="V235" s="27"/>
      <c r="W235" s="27"/>
      <c r="X235" s="27"/>
    </row>
    <row r="236">
      <c r="A236" s="25">
        <v>8.50161675996606</v>
      </c>
      <c r="B236" s="25">
        <v>19.799181531833</v>
      </c>
      <c r="C236" s="25">
        <v>6096.63447282398</v>
      </c>
      <c r="D236" s="25">
        <v>0.144401648711291</v>
      </c>
      <c r="E236" s="25">
        <v>0.223208861937621</v>
      </c>
      <c r="F236" s="25">
        <v>0.14984293867329</v>
      </c>
      <c r="G236" s="25">
        <v>2.28063640449013</v>
      </c>
      <c r="H236" s="25">
        <v>33.7931024209756</v>
      </c>
      <c r="I236" s="25">
        <v>88.7210547260686</v>
      </c>
      <c r="J236" s="25">
        <v>38.1132735653434</v>
      </c>
      <c r="L236" s="29"/>
      <c r="M236" s="30"/>
      <c r="O236" s="27"/>
      <c r="P236" s="27"/>
      <c r="Q236" s="27"/>
      <c r="R236" s="27"/>
      <c r="S236" s="27"/>
      <c r="T236" s="27"/>
      <c r="U236" s="27"/>
      <c r="V236" s="27"/>
      <c r="W236" s="27"/>
      <c r="X236" s="27"/>
    </row>
    <row r="237">
      <c r="A237" s="25">
        <v>29.4687934698245</v>
      </c>
      <c r="B237" s="25">
        <v>13.6707066472558</v>
      </c>
      <c r="C237" s="25">
        <v>1174.11730845272</v>
      </c>
      <c r="D237" s="25">
        <v>0.118716135625189</v>
      </c>
      <c r="E237" s="25">
        <v>0.0340376402700616</v>
      </c>
      <c r="F237" s="25">
        <v>0.729701936260434</v>
      </c>
      <c r="G237" s="25">
        <v>6.79994215340353</v>
      </c>
      <c r="H237" s="25">
        <v>17.6823771269232</v>
      </c>
      <c r="I237" s="25">
        <v>77.3743813468413</v>
      </c>
      <c r="J237" s="25">
        <v>26.7988884143924</v>
      </c>
      <c r="L237" s="29"/>
      <c r="M237" s="30"/>
      <c r="O237" s="27"/>
      <c r="P237" s="27"/>
      <c r="Q237" s="27"/>
      <c r="R237" s="27"/>
      <c r="S237" s="27"/>
      <c r="T237" s="27"/>
      <c r="U237" s="27"/>
      <c r="V237" s="27"/>
      <c r="W237" s="27"/>
      <c r="X237" s="27"/>
    </row>
    <row r="238">
      <c r="A238" s="25">
        <v>39.3576492803263</v>
      </c>
      <c r="B238" s="25">
        <v>8.17406820442518</v>
      </c>
      <c r="C238" s="25">
        <v>1254.52926466158</v>
      </c>
      <c r="D238" s="25">
        <v>0.575311066601539</v>
      </c>
      <c r="E238" s="25">
        <v>0.68932997052347</v>
      </c>
      <c r="F238" s="25">
        <v>0.214789858459563</v>
      </c>
      <c r="G238" s="25">
        <v>5.20007895642686</v>
      </c>
      <c r="H238" s="25">
        <v>13.0323902099751</v>
      </c>
      <c r="I238" s="25">
        <v>37.4813675274975</v>
      </c>
      <c r="J238" s="25">
        <v>46.1971144596613</v>
      </c>
      <c r="L238" s="29"/>
      <c r="M238" s="30"/>
      <c r="O238" s="27"/>
      <c r="P238" s="27"/>
      <c r="Q238" s="27"/>
      <c r="R238" s="27"/>
      <c r="S238" s="27"/>
      <c r="T238" s="27"/>
      <c r="U238" s="27"/>
      <c r="V238" s="27"/>
      <c r="W238" s="27"/>
      <c r="X238" s="27"/>
    </row>
    <row r="239">
      <c r="A239" s="25">
        <v>6.82318805587185</v>
      </c>
      <c r="B239" s="25">
        <v>15.2413333636385</v>
      </c>
      <c r="C239" s="25">
        <v>3500.52368822942</v>
      </c>
      <c r="D239" s="25">
        <v>0.190773732117207</v>
      </c>
      <c r="E239" s="25">
        <v>0.119762766773089</v>
      </c>
      <c r="F239" s="25">
        <v>0.0</v>
      </c>
      <c r="G239" s="25">
        <v>2.89706619688713</v>
      </c>
      <c r="H239" s="25">
        <v>31.3743752063936</v>
      </c>
      <c r="I239" s="25">
        <v>91.515219913395</v>
      </c>
      <c r="J239" s="25">
        <v>25.8985146366014</v>
      </c>
      <c r="L239" s="29"/>
      <c r="M239" s="30"/>
      <c r="O239" s="27"/>
      <c r="P239" s="27"/>
      <c r="Q239" s="27"/>
      <c r="R239" s="27"/>
      <c r="S239" s="27"/>
      <c r="T239" s="27"/>
      <c r="U239" s="27"/>
      <c r="V239" s="27"/>
      <c r="W239" s="27"/>
      <c r="X239" s="27"/>
    </row>
    <row r="240">
      <c r="A240" s="25">
        <v>27.9850846605248</v>
      </c>
      <c r="B240" s="25">
        <v>9.98043605431162</v>
      </c>
      <c r="C240" s="25">
        <v>1049.69859739047</v>
      </c>
      <c r="D240" s="25">
        <v>0.183417024435904</v>
      </c>
      <c r="E240" s="25">
        <v>0.0632913100610752</v>
      </c>
      <c r="F240" s="25">
        <v>0.758199555641356</v>
      </c>
      <c r="G240" s="25">
        <v>8.68592060692286</v>
      </c>
      <c r="H240" s="25">
        <v>25.2791116107338</v>
      </c>
      <c r="I240" s="25">
        <v>72.0450653982472</v>
      </c>
      <c r="J240" s="25">
        <v>35.5233968116286</v>
      </c>
      <c r="L240" s="29"/>
      <c r="M240" s="30"/>
      <c r="O240" s="27"/>
      <c r="P240" s="27"/>
      <c r="Q240" s="27"/>
      <c r="R240" s="27"/>
      <c r="S240" s="27"/>
      <c r="T240" s="27"/>
      <c r="U240" s="27"/>
      <c r="V240" s="27"/>
      <c r="W240" s="27"/>
      <c r="X240" s="27"/>
    </row>
    <row r="241">
      <c r="A241" s="25">
        <v>10.4191331396468</v>
      </c>
      <c r="B241" s="25">
        <v>25.641836580814</v>
      </c>
      <c r="C241" s="25">
        <v>4327.81023676759</v>
      </c>
      <c r="D241" s="25">
        <v>0.156945604491321</v>
      </c>
      <c r="E241" s="25">
        <v>0.220168498506259</v>
      </c>
      <c r="F241" s="25">
        <v>0.134895163626951</v>
      </c>
      <c r="G241" s="25">
        <v>1.55695597887151</v>
      </c>
      <c r="H241" s="25">
        <v>22.6025351630037</v>
      </c>
      <c r="I241" s="25">
        <v>87.9657554514076</v>
      </c>
      <c r="J241" s="25">
        <v>38.7054783621406</v>
      </c>
      <c r="L241" s="29"/>
      <c r="M241" s="30"/>
      <c r="O241" s="27"/>
      <c r="P241" s="27"/>
      <c r="Q241" s="27"/>
      <c r="R241" s="27"/>
      <c r="S241" s="27"/>
      <c r="T241" s="27"/>
      <c r="U241" s="27"/>
      <c r="V241" s="27"/>
      <c r="W241" s="27"/>
      <c r="X241" s="27"/>
    </row>
    <row r="242">
      <c r="A242" s="25">
        <v>93.9458453126241</v>
      </c>
      <c r="B242" s="25">
        <v>3.46696301016432</v>
      </c>
      <c r="C242" s="25">
        <v>654.993606186457</v>
      </c>
      <c r="D242" s="25">
        <v>0.153577157611744</v>
      </c>
      <c r="E242" s="25">
        <v>0.0876254236506009</v>
      </c>
      <c r="F242" s="25">
        <v>0.394131058076748</v>
      </c>
      <c r="G242" s="25">
        <v>3.45121414470869</v>
      </c>
      <c r="H242" s="25">
        <v>3.59689057492021</v>
      </c>
      <c r="I242" s="25">
        <v>29.4744507978648</v>
      </c>
      <c r="J242" s="25">
        <v>63.4736787322533</v>
      </c>
      <c r="L242" s="29"/>
      <c r="M242" s="30"/>
      <c r="O242" s="27"/>
      <c r="P242" s="27"/>
      <c r="Q242" s="27"/>
      <c r="R242" s="27"/>
      <c r="S242" s="27"/>
      <c r="T242" s="27"/>
      <c r="U242" s="27"/>
      <c r="V242" s="27"/>
      <c r="W242" s="27"/>
      <c r="X242" s="27"/>
    </row>
    <row r="243">
      <c r="A243" s="25">
        <v>73.0473214276183</v>
      </c>
      <c r="B243" s="25">
        <v>2.0218666671104</v>
      </c>
      <c r="C243" s="25">
        <v>236.555044398641</v>
      </c>
      <c r="D243" s="25">
        <v>0.0607619045936148</v>
      </c>
      <c r="E243" s="25">
        <v>0.0651796760563988</v>
      </c>
      <c r="F243" s="25">
        <v>0.159443298082135</v>
      </c>
      <c r="G243" s="25">
        <v>5.0234275009244</v>
      </c>
      <c r="H243" s="25">
        <v>4.35341576067997</v>
      </c>
      <c r="I243" s="25">
        <v>7.73795055882463</v>
      </c>
      <c r="J243" s="25">
        <v>75.6349874654923</v>
      </c>
      <c r="L243" s="29"/>
      <c r="M243" s="30"/>
      <c r="O243" s="27"/>
      <c r="P243" s="27"/>
      <c r="Q243" s="27"/>
      <c r="R243" s="27"/>
      <c r="S243" s="27"/>
      <c r="T243" s="27"/>
      <c r="U243" s="27"/>
      <c r="V243" s="27"/>
      <c r="W243" s="27"/>
      <c r="X243" s="27"/>
    </row>
    <row r="244">
      <c r="A244" s="25">
        <v>100.215841770551</v>
      </c>
      <c r="B244" s="25">
        <v>4.54587087843608</v>
      </c>
      <c r="C244" s="25">
        <v>301.324816922179</v>
      </c>
      <c r="D244" s="25">
        <v>0.14272626135333</v>
      </c>
      <c r="E244" s="25">
        <v>0.0363226439841874</v>
      </c>
      <c r="F244" s="25">
        <v>0.38902475008365</v>
      </c>
      <c r="G244" s="25">
        <v>5.25775900969029</v>
      </c>
      <c r="H244" s="25">
        <v>3.82987682997717</v>
      </c>
      <c r="I244" s="25">
        <v>5.59524315500118</v>
      </c>
      <c r="J244" s="25">
        <v>58.7345111040637</v>
      </c>
      <c r="L244" s="29"/>
      <c r="M244" s="30"/>
      <c r="O244" s="27"/>
      <c r="P244" s="27"/>
      <c r="Q244" s="27"/>
      <c r="R244" s="27"/>
      <c r="S244" s="27"/>
      <c r="T244" s="27"/>
      <c r="U244" s="27"/>
      <c r="V244" s="27"/>
      <c r="W244" s="27"/>
      <c r="X244" s="27"/>
    </row>
    <row r="245">
      <c r="A245" s="25">
        <v>48.9584232738007</v>
      </c>
      <c r="B245" s="25">
        <v>5.15495598732739</v>
      </c>
      <c r="C245" s="25">
        <v>1138.96188762973</v>
      </c>
      <c r="D245" s="25">
        <v>0.663286219353975</v>
      </c>
      <c r="E245" s="25">
        <v>0.834817421266666</v>
      </c>
      <c r="F245" s="25">
        <v>0.113723367966204</v>
      </c>
      <c r="G245" s="25">
        <v>4.55229993767952</v>
      </c>
      <c r="H245" s="25">
        <v>17.502523734584</v>
      </c>
      <c r="I245" s="25">
        <v>51.6387381788451</v>
      </c>
      <c r="J245" s="25">
        <v>45.8202656708472</v>
      </c>
      <c r="L245" s="29"/>
      <c r="M245" s="30"/>
      <c r="O245" s="27"/>
      <c r="P245" s="27"/>
      <c r="Q245" s="27"/>
      <c r="R245" s="27"/>
      <c r="S245" s="27"/>
      <c r="T245" s="27"/>
      <c r="U245" s="27"/>
      <c r="V245" s="27"/>
      <c r="W245" s="27"/>
      <c r="X245" s="27"/>
    </row>
    <row r="246">
      <c r="A246" s="25">
        <v>11.3022113166677</v>
      </c>
      <c r="B246" s="25">
        <v>17.844632575229</v>
      </c>
      <c r="C246" s="25">
        <v>3193.15625273903</v>
      </c>
      <c r="D246" s="25">
        <v>0.101868715416371</v>
      </c>
      <c r="E246" s="25">
        <v>0.167482502364984</v>
      </c>
      <c r="F246" s="25">
        <v>0.0217598614318972</v>
      </c>
      <c r="G246" s="25">
        <v>2.0953441994413</v>
      </c>
      <c r="H246" s="25">
        <v>23.6827589195887</v>
      </c>
      <c r="I246" s="25">
        <v>91.7914277543819</v>
      </c>
      <c r="J246" s="25">
        <v>32.583636004081</v>
      </c>
      <c r="L246" s="29"/>
      <c r="M246" s="30"/>
      <c r="O246" s="27"/>
      <c r="P246" s="27"/>
      <c r="Q246" s="27"/>
      <c r="R246" s="27"/>
      <c r="S246" s="27"/>
      <c r="T246" s="27"/>
      <c r="U246" s="27"/>
      <c r="V246" s="27"/>
      <c r="W246" s="27"/>
      <c r="X246" s="27"/>
    </row>
    <row r="247">
      <c r="A247" s="25">
        <v>83.4110442730581</v>
      </c>
      <c r="B247" s="25">
        <v>4.09780605643244</v>
      </c>
      <c r="C247" s="25">
        <v>450.258704362617</v>
      </c>
      <c r="D247" s="25">
        <v>0.115807797859138</v>
      </c>
      <c r="E247" s="25">
        <v>0.098770703592341</v>
      </c>
      <c r="F247" s="25">
        <v>0.146442787679289</v>
      </c>
      <c r="G247" s="25">
        <v>6.13518301998047</v>
      </c>
      <c r="H247" s="25">
        <v>3.9187031910204</v>
      </c>
      <c r="I247" s="25">
        <v>6.86653497138802</v>
      </c>
      <c r="J247" s="25">
        <v>63.2914366842805</v>
      </c>
      <c r="L247" s="29"/>
      <c r="M247" s="30"/>
      <c r="O247" s="27"/>
      <c r="P247" s="27"/>
      <c r="Q247" s="27"/>
      <c r="R247" s="27"/>
      <c r="S247" s="27"/>
      <c r="T247" s="27"/>
      <c r="U247" s="27"/>
      <c r="V247" s="27"/>
      <c r="W247" s="27"/>
      <c r="X247" s="27"/>
    </row>
    <row r="248">
      <c r="A248" s="25">
        <v>39.4103906855855</v>
      </c>
      <c r="B248" s="25">
        <v>7.5965096467948</v>
      </c>
      <c r="C248" s="25">
        <v>1100.15798997056</v>
      </c>
      <c r="D248" s="25">
        <v>0.943136678183118</v>
      </c>
      <c r="E248" s="25">
        <v>0.858176672767282</v>
      </c>
      <c r="F248" s="25">
        <v>0.108144656459801</v>
      </c>
      <c r="G248" s="25">
        <v>4.62206999030604</v>
      </c>
      <c r="H248" s="25">
        <v>20.3157332781416</v>
      </c>
      <c r="I248" s="25">
        <v>64.6417022482704</v>
      </c>
      <c r="J248" s="25">
        <v>50.9098042518596</v>
      </c>
      <c r="L248" s="29"/>
      <c r="M248" s="30"/>
      <c r="O248" s="27"/>
      <c r="P248" s="27"/>
      <c r="Q248" s="27"/>
      <c r="R248" s="27"/>
      <c r="S248" s="27"/>
      <c r="T248" s="27"/>
      <c r="U248" s="27"/>
      <c r="V248" s="27"/>
      <c r="W248" s="27"/>
      <c r="X248" s="27"/>
    </row>
    <row r="249">
      <c r="A249" s="25">
        <v>130.245408914015</v>
      </c>
      <c r="B249" s="25">
        <v>4.53556431916047</v>
      </c>
      <c r="C249" s="25">
        <v>437.396289346259</v>
      </c>
      <c r="D249" s="25">
        <v>0.152254423704237</v>
      </c>
      <c r="E249" s="25">
        <v>0.0857955133238756</v>
      </c>
      <c r="F249" s="25">
        <v>0.302390304328495</v>
      </c>
      <c r="G249" s="25">
        <v>4.4728786464294</v>
      </c>
      <c r="H249" s="25">
        <v>5.34512003824816</v>
      </c>
      <c r="I249" s="25">
        <v>8.45257067246398</v>
      </c>
      <c r="J249" s="25">
        <v>75.7265740727468</v>
      </c>
      <c r="L249" s="29"/>
      <c r="M249" s="30"/>
      <c r="O249" s="27"/>
      <c r="P249" s="27"/>
      <c r="Q249" s="27"/>
      <c r="R249" s="27"/>
      <c r="S249" s="27"/>
      <c r="T249" s="27"/>
      <c r="U249" s="27"/>
      <c r="V249" s="27"/>
      <c r="W249" s="27"/>
      <c r="X249" s="27"/>
    </row>
    <row r="250">
      <c r="A250" s="25">
        <v>99.9972824748074</v>
      </c>
      <c r="B250" s="25">
        <v>0.901040737797087</v>
      </c>
      <c r="C250" s="25">
        <v>455.147393948713</v>
      </c>
      <c r="D250" s="25">
        <v>0.0</v>
      </c>
      <c r="E250" s="25">
        <v>0.105020320673241</v>
      </c>
      <c r="F250" s="25">
        <v>0.388523148298899</v>
      </c>
      <c r="G250" s="25">
        <v>4.11146606652192</v>
      </c>
      <c r="H250" s="25">
        <v>3.18532154393337</v>
      </c>
      <c r="I250" s="25">
        <v>30.6332594700022</v>
      </c>
      <c r="J250" s="25">
        <v>61.4597730701664</v>
      </c>
      <c r="L250" s="29"/>
      <c r="M250" s="30"/>
      <c r="O250" s="27"/>
      <c r="P250" s="27"/>
      <c r="Q250" s="27"/>
      <c r="R250" s="27"/>
      <c r="S250" s="27"/>
      <c r="T250" s="27"/>
      <c r="U250" s="27"/>
      <c r="V250" s="27"/>
      <c r="W250" s="27"/>
      <c r="X250" s="27"/>
    </row>
    <row r="251">
      <c r="A251" s="25">
        <v>68.8218482588679</v>
      </c>
      <c r="B251" s="25">
        <v>5.22249510369389</v>
      </c>
      <c r="C251" s="25">
        <v>694.388078579619</v>
      </c>
      <c r="D251" s="25">
        <v>0.100184783592392</v>
      </c>
      <c r="E251" s="25">
        <v>0.120458521416334</v>
      </c>
      <c r="F251" s="25">
        <v>0.434147591553088</v>
      </c>
      <c r="G251" s="25">
        <v>3.88627365119242</v>
      </c>
      <c r="H251" s="25">
        <v>2.27204124694819</v>
      </c>
      <c r="I251" s="25">
        <v>24.8469961052378</v>
      </c>
      <c r="J251" s="25">
        <v>76.7950999509595</v>
      </c>
      <c r="L251" s="29"/>
      <c r="M251" s="30"/>
      <c r="O251" s="27"/>
      <c r="P251" s="27"/>
      <c r="Q251" s="27"/>
      <c r="R251" s="27"/>
      <c r="S251" s="27"/>
      <c r="T251" s="27"/>
      <c r="U251" s="27"/>
      <c r="V251" s="27"/>
      <c r="W251" s="27"/>
      <c r="X251" s="27"/>
    </row>
    <row r="252">
      <c r="A252" s="25">
        <v>48.4432129026153</v>
      </c>
      <c r="B252" s="25">
        <v>5.36055693949383</v>
      </c>
      <c r="C252" s="25">
        <v>1596.11833350983</v>
      </c>
      <c r="D252" s="25">
        <v>0.746902910218803</v>
      </c>
      <c r="E252" s="25">
        <v>0.716486221882854</v>
      </c>
      <c r="F252" s="25">
        <v>0.223963648414273</v>
      </c>
      <c r="G252" s="25">
        <v>5.55416042071477</v>
      </c>
      <c r="H252" s="25">
        <v>18.4159039062088</v>
      </c>
      <c r="I252" s="25">
        <v>64.9783860043429</v>
      </c>
      <c r="J252" s="25">
        <v>44.632885301181</v>
      </c>
      <c r="L252" s="29"/>
      <c r="M252" s="30"/>
      <c r="O252" s="27"/>
      <c r="P252" s="27"/>
      <c r="Q252" s="27"/>
      <c r="R252" s="27"/>
      <c r="S252" s="27"/>
      <c r="T252" s="27"/>
      <c r="U252" s="27"/>
      <c r="V252" s="27"/>
      <c r="W252" s="27"/>
      <c r="X252" s="27"/>
    </row>
    <row r="253">
      <c r="A253" s="25">
        <v>40.6527200296519</v>
      </c>
      <c r="B253" s="25">
        <v>9.67441854355551</v>
      </c>
      <c r="C253" s="25">
        <v>241.131976691709</v>
      </c>
      <c r="D253" s="25">
        <v>0.77033925409302</v>
      </c>
      <c r="E253" s="25">
        <v>0.774132193491678</v>
      </c>
      <c r="F253" s="25">
        <v>0.119429014146634</v>
      </c>
      <c r="G253" s="25">
        <v>4.38632331781156</v>
      </c>
      <c r="H253" s="25">
        <v>14.1821151160555</v>
      </c>
      <c r="I253" s="25">
        <v>81.0657083797858</v>
      </c>
      <c r="J253" s="25">
        <v>55.7301972521485</v>
      </c>
      <c r="L253" s="29"/>
      <c r="M253" s="30"/>
      <c r="O253" s="27"/>
      <c r="P253" s="27"/>
      <c r="Q253" s="27"/>
      <c r="R253" s="27"/>
      <c r="S253" s="27"/>
      <c r="T253" s="27"/>
      <c r="U253" s="27"/>
      <c r="V253" s="27"/>
      <c r="W253" s="27"/>
      <c r="X253" s="27"/>
    </row>
    <row r="254">
      <c r="A254" s="25">
        <v>80.6838886176367</v>
      </c>
      <c r="B254" s="25">
        <v>2.77374343264995</v>
      </c>
      <c r="C254" s="25">
        <v>388.907865158741</v>
      </c>
      <c r="D254" s="25">
        <v>0.0774170261920188</v>
      </c>
      <c r="E254" s="25">
        <v>0.087800999361125</v>
      </c>
      <c r="F254" s="25">
        <v>0.22417179311124</v>
      </c>
      <c r="G254" s="25">
        <v>3.30407699759371</v>
      </c>
      <c r="H254" s="25">
        <v>3.9340668358504</v>
      </c>
      <c r="I254" s="25">
        <v>20.0362366737744</v>
      </c>
      <c r="J254" s="25">
        <v>59.36978968238</v>
      </c>
      <c r="L254" s="29"/>
      <c r="M254" s="30"/>
      <c r="O254" s="27"/>
      <c r="P254" s="27"/>
      <c r="Q254" s="27"/>
      <c r="R254" s="27"/>
      <c r="S254" s="27"/>
      <c r="T254" s="27"/>
      <c r="U254" s="27"/>
      <c r="V254" s="27"/>
      <c r="W254" s="27"/>
      <c r="X254" s="27"/>
    </row>
    <row r="255">
      <c r="A255" s="25">
        <v>53.4303314614389</v>
      </c>
      <c r="B255" s="25">
        <v>6.105266812504</v>
      </c>
      <c r="C255" s="25">
        <v>1075.94957141139</v>
      </c>
      <c r="D255" s="25">
        <v>0.882034401261245</v>
      </c>
      <c r="E255" s="25">
        <v>0.746638743529628</v>
      </c>
      <c r="F255" s="25">
        <v>0.231831863849879</v>
      </c>
      <c r="G255" s="25">
        <v>3.48357035611242</v>
      </c>
      <c r="H255" s="25">
        <v>14.2141336662876</v>
      </c>
      <c r="I255" s="25">
        <v>57.5296868294359</v>
      </c>
      <c r="J255" s="25">
        <v>32.5342165345976</v>
      </c>
      <c r="L255" s="29"/>
      <c r="M255" s="30"/>
      <c r="O255" s="27"/>
      <c r="P255" s="27"/>
      <c r="Q255" s="27"/>
      <c r="R255" s="27"/>
      <c r="S255" s="27"/>
      <c r="T255" s="27"/>
      <c r="U255" s="27"/>
      <c r="V255" s="27"/>
      <c r="W255" s="27"/>
      <c r="X255" s="27"/>
    </row>
    <row r="256">
      <c r="A256" s="25">
        <v>9.11612918442108</v>
      </c>
      <c r="B256" s="25">
        <v>13.805526804545</v>
      </c>
      <c r="C256" s="25">
        <v>3607.07700228631</v>
      </c>
      <c r="D256" s="25">
        <v>0.185756225331516</v>
      </c>
      <c r="E256" s="25">
        <v>0.137191012375231</v>
      </c>
      <c r="F256" s="25">
        <v>0.087925127706461</v>
      </c>
      <c r="G256" s="25">
        <v>1.93823580013987</v>
      </c>
      <c r="H256" s="25">
        <v>27.3972075904303</v>
      </c>
      <c r="I256" s="25">
        <v>93.7451707413252</v>
      </c>
      <c r="J256" s="25">
        <v>29.8018781852138</v>
      </c>
      <c r="L256" s="29"/>
      <c r="M256" s="30"/>
      <c r="O256" s="27"/>
      <c r="P256" s="27"/>
      <c r="Q256" s="27"/>
      <c r="R256" s="27"/>
      <c r="S256" s="27"/>
      <c r="T256" s="27"/>
      <c r="U256" s="27"/>
      <c r="V256" s="27"/>
      <c r="W256" s="27"/>
      <c r="X256" s="27"/>
    </row>
    <row r="257">
      <c r="A257" s="25">
        <v>17.9679914461085</v>
      </c>
      <c r="B257" s="25">
        <v>6.87386676327069</v>
      </c>
      <c r="C257" s="25">
        <v>778.199269701268</v>
      </c>
      <c r="D257" s="25">
        <v>0.132403934109174</v>
      </c>
      <c r="E257" s="25">
        <v>0.0615001966901271</v>
      </c>
      <c r="F257" s="25">
        <v>0.62038833357501</v>
      </c>
      <c r="G257" s="25">
        <v>7.31581875878871</v>
      </c>
      <c r="H257" s="25">
        <v>18.9071331005698</v>
      </c>
      <c r="I257" s="25">
        <v>70.9502946583556</v>
      </c>
      <c r="J257" s="25">
        <v>26.0980386282417</v>
      </c>
      <c r="L257" s="29"/>
      <c r="M257" s="30"/>
      <c r="O257" s="27"/>
      <c r="P257" s="27"/>
      <c r="Q257" s="27"/>
      <c r="R257" s="27"/>
      <c r="S257" s="27"/>
      <c r="T257" s="27"/>
      <c r="U257" s="27"/>
      <c r="V257" s="27"/>
      <c r="W257" s="27"/>
      <c r="X257" s="27"/>
    </row>
    <row r="258">
      <c r="A258" s="25">
        <v>81.7400435571313</v>
      </c>
      <c r="B258" s="25">
        <v>1.60995253672903</v>
      </c>
      <c r="C258" s="25">
        <v>395.284124443783</v>
      </c>
      <c r="D258" s="25">
        <v>0.0575785682904592</v>
      </c>
      <c r="E258" s="25">
        <v>0.102925112529648</v>
      </c>
      <c r="F258" s="25">
        <v>0.121413350806588</v>
      </c>
      <c r="G258" s="25">
        <v>4.4605554913213</v>
      </c>
      <c r="H258" s="25">
        <v>3.45166100878761</v>
      </c>
      <c r="I258" s="25">
        <v>16.47067613058</v>
      </c>
      <c r="J258" s="25">
        <v>83.8512356478634</v>
      </c>
      <c r="L258" s="29"/>
      <c r="M258" s="30"/>
      <c r="O258" s="27"/>
      <c r="P258" s="27"/>
      <c r="Q258" s="27"/>
      <c r="R258" s="27"/>
      <c r="S258" s="27"/>
      <c r="T258" s="27"/>
      <c r="U258" s="27"/>
      <c r="V258" s="27"/>
      <c r="W258" s="27"/>
      <c r="X258" s="27"/>
    </row>
    <row r="259">
      <c r="A259" s="25">
        <v>33.498000245679</v>
      </c>
      <c r="B259" s="25">
        <v>6.98783620947396</v>
      </c>
      <c r="C259" s="25">
        <v>876.133938227731</v>
      </c>
      <c r="D259" s="25">
        <v>0.0611876833266774</v>
      </c>
      <c r="E259" s="25">
        <v>0.0959700125351619</v>
      </c>
      <c r="F259" s="25">
        <v>0.666694394299924</v>
      </c>
      <c r="G259" s="25">
        <v>9.37308541334024</v>
      </c>
      <c r="H259" s="25">
        <v>15.2522986270223</v>
      </c>
      <c r="I259" s="25">
        <v>63.8323408420475</v>
      </c>
      <c r="J259" s="25">
        <v>25.5510951101691</v>
      </c>
      <c r="L259" s="29"/>
      <c r="M259" s="30"/>
      <c r="O259" s="27"/>
      <c r="P259" s="27"/>
      <c r="Q259" s="27"/>
      <c r="R259" s="27"/>
      <c r="S259" s="27"/>
      <c r="T259" s="27"/>
      <c r="U259" s="27"/>
      <c r="V259" s="27"/>
      <c r="W259" s="27"/>
      <c r="X259" s="27"/>
    </row>
    <row r="260">
      <c r="A260" s="25">
        <v>47.3885135185333</v>
      </c>
      <c r="B260" s="25">
        <v>9.03627170164626</v>
      </c>
      <c r="C260" s="25">
        <v>1358.1392608698</v>
      </c>
      <c r="D260" s="25">
        <v>0.190707588105913</v>
      </c>
      <c r="E260" s="25">
        <v>0.124103336366769</v>
      </c>
      <c r="F260" s="25">
        <v>0.786873314731751</v>
      </c>
      <c r="G260" s="25">
        <v>8.59069594732437</v>
      </c>
      <c r="H260" s="25">
        <v>8.36163710327195</v>
      </c>
      <c r="I260" s="25">
        <v>62.2111660584924</v>
      </c>
      <c r="J260" s="25">
        <v>35.9161057982902</v>
      </c>
      <c r="L260" s="29"/>
      <c r="M260" s="30"/>
      <c r="O260" s="27"/>
      <c r="P260" s="27"/>
      <c r="Q260" s="27"/>
      <c r="R260" s="27"/>
      <c r="S260" s="27"/>
      <c r="T260" s="27"/>
      <c r="U260" s="27"/>
      <c r="V260" s="27"/>
      <c r="W260" s="27"/>
      <c r="X260" s="27"/>
    </row>
    <row r="261">
      <c r="A261" s="25">
        <v>9.75551408262947</v>
      </c>
      <c r="B261" s="25">
        <v>14.3792406127857</v>
      </c>
      <c r="C261" s="25">
        <v>3958.07643953802</v>
      </c>
      <c r="D261" s="25">
        <v>0.285205275812774</v>
      </c>
      <c r="E261" s="25">
        <v>0.212344585776735</v>
      </c>
      <c r="F261" s="25">
        <v>0.0968997995316984</v>
      </c>
      <c r="G261" s="25">
        <v>2.95144927705808</v>
      </c>
      <c r="H261" s="25">
        <v>23.1674648981597</v>
      </c>
      <c r="I261" s="25">
        <v>67.9612841317328</v>
      </c>
      <c r="J261" s="25">
        <v>27.6042720949635</v>
      </c>
      <c r="L261" s="29"/>
      <c r="M261" s="30"/>
      <c r="O261" s="27"/>
      <c r="P261" s="27"/>
      <c r="Q261" s="27"/>
      <c r="R261" s="27"/>
      <c r="S261" s="27"/>
      <c r="T261" s="27"/>
      <c r="U261" s="27"/>
      <c r="V261" s="27"/>
      <c r="W261" s="27"/>
      <c r="X261" s="27"/>
    </row>
    <row r="262">
      <c r="A262" s="25">
        <v>45.6288876850819</v>
      </c>
      <c r="B262" s="25">
        <v>9.17802075451208</v>
      </c>
      <c r="C262" s="25">
        <v>839.154005156245</v>
      </c>
      <c r="D262" s="25">
        <v>0.135008090186255</v>
      </c>
      <c r="E262" s="25">
        <v>0.19520682947865</v>
      </c>
      <c r="F262" s="25">
        <v>0.912595891536206</v>
      </c>
      <c r="G262" s="25">
        <v>11.3281703501722</v>
      </c>
      <c r="H262" s="25">
        <v>17.2047739479997</v>
      </c>
      <c r="I262" s="25">
        <v>67.9562448874709</v>
      </c>
      <c r="J262" s="25">
        <v>19.3835021540544</v>
      </c>
      <c r="L262" s="29"/>
      <c r="M262" s="30"/>
      <c r="O262" s="27"/>
      <c r="P262" s="27"/>
      <c r="Q262" s="27"/>
      <c r="R262" s="27"/>
      <c r="S262" s="27"/>
      <c r="T262" s="27"/>
      <c r="U262" s="27"/>
      <c r="V262" s="27"/>
      <c r="W262" s="27"/>
      <c r="X262" s="27"/>
    </row>
    <row r="263">
      <c r="A263" s="25">
        <v>119.538688522365</v>
      </c>
      <c r="B263" s="25">
        <v>1.24833067309809</v>
      </c>
      <c r="C263" s="25">
        <v>432.516334564394</v>
      </c>
      <c r="D263" s="25">
        <v>0.0451348736183578</v>
      </c>
      <c r="E263" s="25">
        <v>0.0564453269304521</v>
      </c>
      <c r="F263" s="25">
        <v>0.216273756895029</v>
      </c>
      <c r="G263" s="25">
        <v>4.08818710898627</v>
      </c>
      <c r="H263" s="25">
        <v>2.19131594527653</v>
      </c>
      <c r="I263" s="25">
        <v>10.6138496405993</v>
      </c>
      <c r="J263" s="25">
        <v>70.8333373824621</v>
      </c>
      <c r="L263" s="29"/>
      <c r="M263" s="30"/>
      <c r="O263" s="27"/>
      <c r="P263" s="27"/>
      <c r="Q263" s="27"/>
      <c r="R263" s="27"/>
      <c r="S263" s="27"/>
      <c r="T263" s="27"/>
      <c r="U263" s="27"/>
      <c r="V263" s="27"/>
      <c r="W263" s="27"/>
      <c r="X263" s="27"/>
    </row>
    <row r="264">
      <c r="A264" s="25">
        <v>4.47568603468739</v>
      </c>
      <c r="B264" s="25">
        <v>20.8821657080554</v>
      </c>
      <c r="C264" s="25">
        <v>4974.36732184444</v>
      </c>
      <c r="D264" s="25">
        <v>0.17434018177433</v>
      </c>
      <c r="E264" s="25">
        <v>0.114104055462619</v>
      </c>
      <c r="F264" s="25">
        <v>0.0884737687409874</v>
      </c>
      <c r="G264" s="25">
        <v>3.17972520836071</v>
      </c>
      <c r="H264" s="25">
        <v>25.9705381547667</v>
      </c>
      <c r="I264" s="25">
        <v>79.687857053924</v>
      </c>
      <c r="J264" s="25">
        <v>38.8710132095043</v>
      </c>
      <c r="L264" s="29"/>
      <c r="M264" s="30"/>
      <c r="O264" s="27"/>
      <c r="P264" s="27"/>
      <c r="Q264" s="27"/>
      <c r="R264" s="27"/>
      <c r="S264" s="27"/>
      <c r="T264" s="27"/>
      <c r="U264" s="27"/>
      <c r="V264" s="27"/>
      <c r="W264" s="27"/>
      <c r="X264" s="27"/>
    </row>
    <row r="265">
      <c r="A265" s="25">
        <v>18.9770785016357</v>
      </c>
      <c r="B265" s="25">
        <v>12.0440785313288</v>
      </c>
      <c r="C265" s="25">
        <v>1002.15182692544</v>
      </c>
      <c r="D265" s="25">
        <v>0.134609576443055</v>
      </c>
      <c r="E265" s="25">
        <v>0.0580707100776384</v>
      </c>
      <c r="F265" s="25">
        <v>0.661331907771654</v>
      </c>
      <c r="G265" s="25">
        <v>8.80222600451886</v>
      </c>
      <c r="H265" s="25">
        <v>24.1449025124453</v>
      </c>
      <c r="I265" s="25">
        <v>58.626922529712</v>
      </c>
      <c r="J265" s="25">
        <v>33.2087069248603</v>
      </c>
      <c r="L265" s="29"/>
      <c r="M265" s="30"/>
      <c r="O265" s="27"/>
      <c r="P265" s="27"/>
      <c r="Q265" s="27"/>
      <c r="R265" s="27"/>
      <c r="S265" s="27"/>
      <c r="T265" s="27"/>
      <c r="U265" s="27"/>
      <c r="V265" s="27"/>
      <c r="W265" s="27"/>
      <c r="X265" s="27"/>
    </row>
    <row r="266">
      <c r="A266" s="25">
        <v>48.2594596279586</v>
      </c>
      <c r="B266" s="25">
        <v>2.1230734040142</v>
      </c>
      <c r="C266" s="25">
        <v>395.341160069364</v>
      </c>
      <c r="D266" s="25">
        <v>0.0545158291509083</v>
      </c>
      <c r="E266" s="25">
        <v>0.0425397450084161</v>
      </c>
      <c r="F266" s="25">
        <v>0.233222044353111</v>
      </c>
      <c r="G266" s="25">
        <v>5.43828909248956</v>
      </c>
      <c r="H266" s="25">
        <v>2.71900647239043</v>
      </c>
      <c r="I266" s="25">
        <v>0.0</v>
      </c>
      <c r="J266" s="25">
        <v>50.1550989315545</v>
      </c>
      <c r="L266" s="29"/>
      <c r="M266" s="30"/>
      <c r="O266" s="27"/>
      <c r="P266" s="27"/>
      <c r="Q266" s="27"/>
      <c r="R266" s="27"/>
      <c r="S266" s="27"/>
      <c r="T266" s="27"/>
      <c r="U266" s="27"/>
      <c r="V266" s="27"/>
      <c r="W266" s="27"/>
      <c r="X266" s="27"/>
    </row>
    <row r="267">
      <c r="A267" s="25">
        <v>23.9313482214282</v>
      </c>
      <c r="B267" s="25">
        <v>11.3730597581606</v>
      </c>
      <c r="C267" s="25">
        <v>213.123789318691</v>
      </c>
      <c r="D267" s="25">
        <v>0.125013491192418</v>
      </c>
      <c r="E267" s="25">
        <v>0.0736876071741289</v>
      </c>
      <c r="F267" s="25">
        <v>0.888833777820844</v>
      </c>
      <c r="G267" s="25">
        <v>7.4224672824307</v>
      </c>
      <c r="H267" s="25">
        <v>19.9149449237046</v>
      </c>
      <c r="I267" s="25">
        <v>66.4125714008746</v>
      </c>
      <c r="J267" s="25">
        <v>18.0</v>
      </c>
      <c r="L267" s="29"/>
      <c r="M267" s="30"/>
      <c r="O267" s="27"/>
      <c r="P267" s="27"/>
      <c r="Q267" s="27"/>
      <c r="R267" s="27"/>
      <c r="S267" s="27"/>
      <c r="T267" s="27"/>
      <c r="U267" s="27"/>
      <c r="V267" s="27"/>
      <c r="W267" s="27"/>
      <c r="X267" s="27"/>
    </row>
    <row r="268">
      <c r="A268" s="25">
        <v>37.6820721663173</v>
      </c>
      <c r="B268" s="25">
        <v>10.6461895163688</v>
      </c>
      <c r="C268" s="25">
        <v>1027.06715991864</v>
      </c>
      <c r="D268" s="25">
        <v>0.346311885321816</v>
      </c>
      <c r="E268" s="25">
        <v>0.0</v>
      </c>
      <c r="F268" s="25">
        <v>0.92246966497611</v>
      </c>
      <c r="G268" s="25">
        <v>7.56882872089946</v>
      </c>
      <c r="H268" s="25">
        <v>19.436644522015</v>
      </c>
      <c r="I268" s="25">
        <v>64.5448775469875</v>
      </c>
      <c r="J268" s="25">
        <v>27.0303456662136</v>
      </c>
      <c r="L268" s="29"/>
      <c r="M268" s="30"/>
      <c r="O268" s="27"/>
      <c r="P268" s="27"/>
      <c r="Q268" s="27"/>
      <c r="R268" s="27"/>
      <c r="S268" s="27"/>
      <c r="T268" s="27"/>
      <c r="U268" s="27"/>
      <c r="V268" s="27"/>
      <c r="W268" s="27"/>
      <c r="X268" s="27"/>
    </row>
    <row r="269">
      <c r="A269" s="25">
        <v>24.3016707176124</v>
      </c>
      <c r="B269" s="25">
        <v>10.988526206719</v>
      </c>
      <c r="C269" s="25">
        <v>520.70657583208</v>
      </c>
      <c r="D269" s="25">
        <v>0.187528958376088</v>
      </c>
      <c r="E269" s="25">
        <v>0.0791902797557373</v>
      </c>
      <c r="F269" s="25">
        <v>0.636993066095964</v>
      </c>
      <c r="G269" s="25">
        <v>7.32498071300628</v>
      </c>
      <c r="H269" s="25">
        <v>24.2857460843128</v>
      </c>
      <c r="I269" s="25">
        <v>59.6466491298377</v>
      </c>
      <c r="J269" s="25">
        <v>32.5091753274673</v>
      </c>
      <c r="L269" s="29"/>
      <c r="M269" s="30"/>
      <c r="O269" s="27"/>
      <c r="P269" s="27"/>
      <c r="Q269" s="27"/>
      <c r="R269" s="27"/>
      <c r="S269" s="27"/>
      <c r="T269" s="27"/>
      <c r="U269" s="27"/>
      <c r="V269" s="27"/>
      <c r="W269" s="27"/>
      <c r="X269" s="27"/>
    </row>
    <row r="270">
      <c r="A270" s="25">
        <v>29.0356558642679</v>
      </c>
      <c r="B270" s="25">
        <v>10.2737655497708</v>
      </c>
      <c r="C270" s="25">
        <v>1205.65232163706</v>
      </c>
      <c r="D270" s="25">
        <v>0.984860883329641</v>
      </c>
      <c r="E270" s="25">
        <v>0.732443605450078</v>
      </c>
      <c r="F270" s="25">
        <v>0.246805836333053</v>
      </c>
      <c r="G270" s="25">
        <v>4.09806753953894</v>
      </c>
      <c r="H270" s="25">
        <v>20.183487127452</v>
      </c>
      <c r="I270" s="25">
        <v>51.3740113486952</v>
      </c>
      <c r="J270" s="25">
        <v>47.4500531287728</v>
      </c>
      <c r="L270" s="29"/>
      <c r="M270" s="30"/>
      <c r="O270" s="27"/>
      <c r="P270" s="27"/>
      <c r="Q270" s="27"/>
      <c r="R270" s="27"/>
      <c r="S270" s="27"/>
      <c r="T270" s="27"/>
      <c r="U270" s="27"/>
      <c r="V270" s="27"/>
      <c r="W270" s="27"/>
      <c r="X270" s="27"/>
    </row>
    <row r="271">
      <c r="A271" s="25">
        <v>37.0795405582497</v>
      </c>
      <c r="B271" s="25">
        <v>7.8074354686745</v>
      </c>
      <c r="C271" s="25">
        <v>1027.52574533451</v>
      </c>
      <c r="D271" s="25">
        <v>0.825224039642667</v>
      </c>
      <c r="E271" s="25">
        <v>0.738377095687804</v>
      </c>
      <c r="F271" s="25">
        <v>0.215029922821936</v>
      </c>
      <c r="G271" s="25">
        <v>5.57811805756218</v>
      </c>
      <c r="H271" s="25">
        <v>18.9417987424608</v>
      </c>
      <c r="I271" s="25">
        <v>70.4298551099627</v>
      </c>
      <c r="J271" s="25">
        <v>35.4446047397612</v>
      </c>
      <c r="L271" s="29"/>
      <c r="M271" s="30"/>
      <c r="O271" s="27"/>
      <c r="P271" s="27"/>
      <c r="Q271" s="27"/>
      <c r="R271" s="27"/>
      <c r="S271" s="27"/>
      <c r="T271" s="27"/>
      <c r="U271" s="27"/>
      <c r="V271" s="27"/>
      <c r="W271" s="27"/>
      <c r="X271" s="27"/>
    </row>
    <row r="272">
      <c r="A272" s="25">
        <v>72.2151834354335</v>
      </c>
      <c r="B272" s="25">
        <v>4.43295083735662</v>
      </c>
      <c r="C272" s="25">
        <v>531.407018879469</v>
      </c>
      <c r="D272" s="25">
        <v>0.173633533787549</v>
      </c>
      <c r="E272" s="25">
        <v>0.0558407749612308</v>
      </c>
      <c r="F272" s="25">
        <v>0.277045134463965</v>
      </c>
      <c r="G272" s="25">
        <v>2.54077375621184</v>
      </c>
      <c r="H272" s="25">
        <v>2.41129334090869</v>
      </c>
      <c r="I272" s="25">
        <v>22.9725640846355</v>
      </c>
      <c r="J272" s="25">
        <v>61.7345323454026</v>
      </c>
      <c r="L272" s="29"/>
      <c r="M272" s="30"/>
      <c r="O272" s="27"/>
      <c r="P272" s="27"/>
      <c r="Q272" s="27"/>
      <c r="R272" s="27"/>
      <c r="S272" s="27"/>
      <c r="T272" s="27"/>
      <c r="U272" s="27"/>
      <c r="V272" s="27"/>
      <c r="W272" s="27"/>
      <c r="X272" s="27"/>
    </row>
    <row r="273">
      <c r="A273" s="25">
        <v>102.809595904016</v>
      </c>
      <c r="B273" s="25">
        <v>2.71424534100328</v>
      </c>
      <c r="C273" s="25">
        <v>448.608554233234</v>
      </c>
      <c r="D273" s="25">
        <v>0.0426154305092166</v>
      </c>
      <c r="E273" s="25">
        <v>0.083408377985356</v>
      </c>
      <c r="F273" s="25">
        <v>8.86402909927641E-4</v>
      </c>
      <c r="G273" s="25">
        <v>4.71965576275702</v>
      </c>
      <c r="H273" s="25">
        <v>0.554290134427289</v>
      </c>
      <c r="I273" s="25">
        <v>24.6479561323745</v>
      </c>
      <c r="J273" s="25">
        <v>70.4418514693515</v>
      </c>
      <c r="L273" s="29"/>
      <c r="M273" s="30"/>
      <c r="O273" s="27"/>
      <c r="P273" s="27"/>
      <c r="Q273" s="27"/>
      <c r="R273" s="27"/>
      <c r="S273" s="27"/>
      <c r="T273" s="27"/>
      <c r="U273" s="27"/>
      <c r="V273" s="27"/>
      <c r="W273" s="27"/>
      <c r="X273" s="27"/>
    </row>
    <row r="274">
      <c r="A274" s="25">
        <v>99.3334196393216</v>
      </c>
      <c r="B274" s="25">
        <v>5.28150934073907</v>
      </c>
      <c r="C274" s="25">
        <v>257.662521876274</v>
      </c>
      <c r="D274" s="25">
        <v>0.187368159895777</v>
      </c>
      <c r="E274" s="25">
        <v>0.117287662570415</v>
      </c>
      <c r="F274" s="25">
        <v>0.276344471278105</v>
      </c>
      <c r="G274" s="25">
        <v>6.70343022077441</v>
      </c>
      <c r="H274" s="25">
        <v>1.34055973138254</v>
      </c>
      <c r="I274" s="25">
        <v>8.40388670777861</v>
      </c>
      <c r="J274" s="25">
        <v>60.7398719373221</v>
      </c>
      <c r="L274" s="29"/>
      <c r="M274" s="30"/>
      <c r="O274" s="27"/>
      <c r="P274" s="27"/>
      <c r="Q274" s="27"/>
      <c r="R274" s="27"/>
      <c r="S274" s="27"/>
      <c r="T274" s="27"/>
      <c r="U274" s="27"/>
      <c r="V274" s="27"/>
      <c r="W274" s="27"/>
      <c r="X274" s="27"/>
    </row>
    <row r="275">
      <c r="A275" s="25">
        <v>79.4204458387197</v>
      </c>
      <c r="B275" s="25">
        <v>1.41516353585962</v>
      </c>
      <c r="C275" s="25">
        <v>583.462460064298</v>
      </c>
      <c r="D275" s="25">
        <v>0.0870572799815084</v>
      </c>
      <c r="E275" s="25">
        <v>0.0941001987342751</v>
      </c>
      <c r="F275" s="25">
        <v>0.242964863358631</v>
      </c>
      <c r="G275" s="25">
        <v>2.26909504917722</v>
      </c>
      <c r="H275" s="25">
        <v>3.40508603758713</v>
      </c>
      <c r="I275" s="25">
        <v>0.0</v>
      </c>
      <c r="J275" s="25">
        <v>64.5195616774017</v>
      </c>
      <c r="L275" s="29"/>
      <c r="M275" s="30"/>
      <c r="O275" s="27"/>
      <c r="P275" s="27"/>
      <c r="Q275" s="27"/>
      <c r="R275" s="27"/>
      <c r="S275" s="27"/>
      <c r="T275" s="27"/>
      <c r="U275" s="27"/>
      <c r="V275" s="27"/>
      <c r="W275" s="27"/>
      <c r="X275" s="27"/>
    </row>
    <row r="276">
      <c r="A276" s="25">
        <v>16.3168496116718</v>
      </c>
      <c r="B276" s="25">
        <v>15.9618279976924</v>
      </c>
      <c r="C276" s="25">
        <v>1127.84068054368</v>
      </c>
      <c r="D276" s="25">
        <v>0.155287689563574</v>
      </c>
      <c r="E276" s="25">
        <v>0.163185333882733</v>
      </c>
      <c r="F276" s="25">
        <v>0.665368402253426</v>
      </c>
      <c r="G276" s="25">
        <v>8.81521906800514</v>
      </c>
      <c r="H276" s="25">
        <v>18.9990521685935</v>
      </c>
      <c r="I276" s="25">
        <v>67.6402008133367</v>
      </c>
      <c r="J276" s="25">
        <v>38.9064745007473</v>
      </c>
      <c r="L276" s="29"/>
      <c r="M276" s="30"/>
      <c r="O276" s="27"/>
      <c r="P276" s="27"/>
      <c r="Q276" s="27"/>
      <c r="R276" s="27"/>
      <c r="S276" s="27"/>
      <c r="T276" s="27"/>
      <c r="U276" s="27"/>
      <c r="V276" s="27"/>
      <c r="W276" s="27"/>
      <c r="X276" s="27"/>
    </row>
    <row r="277">
      <c r="A277" s="25">
        <v>37.324921027798</v>
      </c>
      <c r="B277" s="25">
        <v>10.866170988475</v>
      </c>
      <c r="C277" s="25">
        <v>486.278140942926</v>
      </c>
      <c r="D277" s="25">
        <v>0.101997685236026</v>
      </c>
      <c r="E277" s="25">
        <v>0.0938645533202138</v>
      </c>
      <c r="F277" s="25">
        <v>0.759337237427665</v>
      </c>
      <c r="G277" s="25">
        <v>6.30469441298911</v>
      </c>
      <c r="H277" s="25">
        <v>30.0583833778921</v>
      </c>
      <c r="I277" s="25">
        <v>80.1639405525357</v>
      </c>
      <c r="J277" s="25">
        <v>34.2148282427473</v>
      </c>
      <c r="L277" s="29"/>
      <c r="M277" s="30"/>
      <c r="O277" s="27"/>
      <c r="P277" s="27"/>
      <c r="Q277" s="27"/>
      <c r="R277" s="27"/>
      <c r="S277" s="27"/>
      <c r="T277" s="27"/>
      <c r="U277" s="27"/>
      <c r="V277" s="27"/>
      <c r="W277" s="27"/>
      <c r="X277" s="27"/>
    </row>
    <row r="278">
      <c r="A278" s="25">
        <v>91.4407372256749</v>
      </c>
      <c r="B278" s="25">
        <v>2.68168654514827</v>
      </c>
      <c r="C278" s="25">
        <v>257.212230996664</v>
      </c>
      <c r="D278" s="25">
        <v>0.103874025925943</v>
      </c>
      <c r="E278" s="25">
        <v>0.09031010160571</v>
      </c>
      <c r="F278" s="25">
        <v>0.175823942451837</v>
      </c>
      <c r="G278" s="25">
        <v>5.50126462586734</v>
      </c>
      <c r="H278" s="25">
        <v>2.76711142676287</v>
      </c>
      <c r="I278" s="25">
        <v>0.0</v>
      </c>
      <c r="J278" s="25">
        <v>58.9773049245434</v>
      </c>
      <c r="L278" s="29"/>
      <c r="M278" s="30"/>
      <c r="O278" s="27"/>
      <c r="P278" s="27"/>
      <c r="Q278" s="27"/>
      <c r="R278" s="27"/>
      <c r="S278" s="27"/>
      <c r="T278" s="27"/>
      <c r="U278" s="27"/>
      <c r="V278" s="27"/>
      <c r="W278" s="27"/>
      <c r="X278" s="27"/>
    </row>
    <row r="279">
      <c r="A279" s="25">
        <v>25.8639446657835</v>
      </c>
      <c r="B279" s="25">
        <v>15.6630629720205</v>
      </c>
      <c r="C279" s="25">
        <v>1039.13828113343</v>
      </c>
      <c r="D279" s="25">
        <v>0.0832259215450054</v>
      </c>
      <c r="E279" s="25">
        <v>0.124301814470881</v>
      </c>
      <c r="F279" s="25">
        <v>0.595269601106163</v>
      </c>
      <c r="G279" s="25">
        <v>9.62403658083061</v>
      </c>
      <c r="H279" s="25">
        <v>15.6443767409106</v>
      </c>
      <c r="I279" s="25">
        <v>64.0636381126082</v>
      </c>
      <c r="J279" s="25">
        <v>39.2805765327953</v>
      </c>
      <c r="L279" s="29"/>
      <c r="M279" s="30"/>
      <c r="O279" s="27"/>
      <c r="P279" s="27"/>
      <c r="Q279" s="27"/>
      <c r="R279" s="27"/>
      <c r="S279" s="27"/>
      <c r="T279" s="27"/>
      <c r="U279" s="27"/>
      <c r="V279" s="27"/>
      <c r="W279" s="27"/>
      <c r="X279" s="27"/>
    </row>
    <row r="280">
      <c r="A280" s="25">
        <v>17.1283643141575</v>
      </c>
      <c r="B280" s="25">
        <v>5.80864544466102</v>
      </c>
      <c r="C280" s="25">
        <v>754.100168413498</v>
      </c>
      <c r="D280" s="25">
        <v>0.201918942550965</v>
      </c>
      <c r="E280" s="25">
        <v>0.0240326962261578</v>
      </c>
      <c r="F280" s="25">
        <v>0.466784440188943</v>
      </c>
      <c r="G280" s="25">
        <v>7.3232617123865</v>
      </c>
      <c r="H280" s="25">
        <v>20.7587039995546</v>
      </c>
      <c r="I280" s="25">
        <v>77.0026174973882</v>
      </c>
      <c r="J280" s="25">
        <v>26.7578704654022</v>
      </c>
      <c r="L280" s="29"/>
      <c r="M280" s="30"/>
      <c r="O280" s="27"/>
      <c r="P280" s="27"/>
      <c r="Q280" s="27"/>
      <c r="R280" s="27"/>
      <c r="S280" s="27"/>
      <c r="T280" s="27"/>
      <c r="U280" s="27"/>
      <c r="V280" s="27"/>
      <c r="W280" s="27"/>
      <c r="X280" s="27"/>
    </row>
    <row r="281">
      <c r="A281" s="25">
        <v>81.7714678576799</v>
      </c>
      <c r="B281" s="25">
        <v>4.73085110138362</v>
      </c>
      <c r="C281" s="25">
        <v>119.538745045686</v>
      </c>
      <c r="D281" s="25">
        <v>0.0805739612408495</v>
      </c>
      <c r="E281" s="25">
        <v>0.0876169555970023</v>
      </c>
      <c r="F281" s="25">
        <v>0.344921872128503</v>
      </c>
      <c r="G281" s="25">
        <v>4.23528996021367</v>
      </c>
      <c r="H281" s="25">
        <v>3.05166151755876</v>
      </c>
      <c r="I281" s="25">
        <v>0.0</v>
      </c>
      <c r="J281" s="25">
        <v>60.392261113663</v>
      </c>
      <c r="L281" s="29"/>
      <c r="M281" s="30"/>
      <c r="O281" s="27"/>
      <c r="P281" s="27"/>
      <c r="Q281" s="27"/>
      <c r="R281" s="27"/>
      <c r="S281" s="27"/>
      <c r="T281" s="27"/>
      <c r="U281" s="27"/>
      <c r="V281" s="27"/>
      <c r="W281" s="27"/>
      <c r="X281" s="27"/>
    </row>
    <row r="282">
      <c r="A282" s="25">
        <v>99.0701742510893</v>
      </c>
      <c r="B282" s="25">
        <v>1.52655894861798</v>
      </c>
      <c r="C282" s="25">
        <v>408.847633238439</v>
      </c>
      <c r="D282" s="25">
        <v>0.122343625040134</v>
      </c>
      <c r="E282" s="25">
        <v>0.0662980319656894</v>
      </c>
      <c r="F282" s="25">
        <v>0.317046377099657</v>
      </c>
      <c r="G282" s="25">
        <v>3.55590115207308</v>
      </c>
      <c r="H282" s="25">
        <v>2.69008308045593</v>
      </c>
      <c r="I282" s="25">
        <v>19.8817293567137</v>
      </c>
      <c r="J282" s="25">
        <v>66.098810726779</v>
      </c>
      <c r="L282" s="29"/>
      <c r="M282" s="30"/>
      <c r="O282" s="27"/>
      <c r="P282" s="27"/>
      <c r="Q282" s="27"/>
      <c r="R282" s="27"/>
      <c r="S282" s="27"/>
      <c r="T282" s="27"/>
      <c r="U282" s="27"/>
      <c r="V282" s="27"/>
      <c r="W282" s="27"/>
      <c r="X282" s="27"/>
    </row>
    <row r="283">
      <c r="A283" s="25">
        <v>31.2020309565409</v>
      </c>
      <c r="B283" s="25">
        <v>8.67264921287237</v>
      </c>
      <c r="C283" s="25">
        <v>1214.38293719098</v>
      </c>
      <c r="D283" s="25">
        <v>0.595005872142252</v>
      </c>
      <c r="E283" s="25">
        <v>0.865907406495589</v>
      </c>
      <c r="F283" s="25">
        <v>0.176462168292324</v>
      </c>
      <c r="G283" s="25">
        <v>4.42548993324023</v>
      </c>
      <c r="H283" s="25">
        <v>19.7889876945809</v>
      </c>
      <c r="I283" s="25">
        <v>43.5399156332344</v>
      </c>
      <c r="J283" s="25">
        <v>32.9055899757245</v>
      </c>
      <c r="L283" s="29"/>
      <c r="M283" s="30"/>
      <c r="O283" s="27"/>
      <c r="P283" s="27"/>
      <c r="Q283" s="27"/>
      <c r="R283" s="27"/>
      <c r="S283" s="27"/>
      <c r="T283" s="27"/>
      <c r="U283" s="27"/>
      <c r="V283" s="27"/>
      <c r="W283" s="27"/>
      <c r="X283" s="27"/>
    </row>
    <row r="284">
      <c r="A284" s="25">
        <v>35.6717695618644</v>
      </c>
      <c r="B284" s="25">
        <v>5.64873943662671</v>
      </c>
      <c r="C284" s="25">
        <v>1520.48097275104</v>
      </c>
      <c r="D284" s="25">
        <v>0.71432279061732</v>
      </c>
      <c r="E284" s="25">
        <v>0.694445322051313</v>
      </c>
      <c r="F284" s="25">
        <v>0.214307232212208</v>
      </c>
      <c r="G284" s="25">
        <v>2.79785047392391</v>
      </c>
      <c r="H284" s="25">
        <v>13.4172771529749</v>
      </c>
      <c r="I284" s="25">
        <v>63.8094391350021</v>
      </c>
      <c r="J284" s="25">
        <v>36.6713959561748</v>
      </c>
      <c r="L284" s="29"/>
      <c r="M284" s="30"/>
      <c r="O284" s="27"/>
      <c r="P284" s="27"/>
      <c r="Q284" s="27"/>
      <c r="R284" s="27"/>
      <c r="S284" s="27"/>
      <c r="T284" s="27"/>
      <c r="U284" s="27"/>
      <c r="V284" s="27"/>
      <c r="W284" s="27"/>
      <c r="X284" s="27"/>
    </row>
    <row r="285">
      <c r="A285" s="25">
        <v>9.53306570550025</v>
      </c>
      <c r="B285" s="25">
        <v>17.8826715502065</v>
      </c>
      <c r="C285" s="25">
        <v>2788.42375265538</v>
      </c>
      <c r="D285" s="25">
        <v>0.216079660566961</v>
      </c>
      <c r="E285" s="25">
        <v>0.237746653582362</v>
      </c>
      <c r="F285" s="25">
        <v>0.100920081539171</v>
      </c>
      <c r="G285" s="25">
        <v>2.22526411724754</v>
      </c>
      <c r="H285" s="25">
        <v>28.4636137755842</v>
      </c>
      <c r="I285" s="25">
        <v>72.306695034533</v>
      </c>
      <c r="J285" s="25">
        <v>48.6201172650368</v>
      </c>
      <c r="L285" s="29"/>
      <c r="M285" s="30"/>
      <c r="O285" s="27"/>
      <c r="P285" s="27"/>
      <c r="Q285" s="27"/>
      <c r="R285" s="27"/>
      <c r="S285" s="27"/>
      <c r="T285" s="27"/>
      <c r="U285" s="27"/>
      <c r="V285" s="27"/>
      <c r="W285" s="27"/>
      <c r="X285" s="27"/>
    </row>
    <row r="286">
      <c r="A286" s="25">
        <v>32.023287964228</v>
      </c>
      <c r="B286" s="25">
        <v>14.8955706972673</v>
      </c>
      <c r="C286" s="25">
        <v>716.741751119002</v>
      </c>
      <c r="D286" s="25">
        <v>0.240903096127891</v>
      </c>
      <c r="E286" s="25">
        <v>0.138757774701739</v>
      </c>
      <c r="F286" s="25">
        <v>0.805304008585235</v>
      </c>
      <c r="G286" s="25">
        <v>8.35103668152972</v>
      </c>
      <c r="H286" s="25">
        <v>16.7573569096277</v>
      </c>
      <c r="I286" s="25">
        <v>77.0053165847387</v>
      </c>
      <c r="J286" s="25">
        <v>30.9825190889363</v>
      </c>
      <c r="L286" s="29"/>
      <c r="M286" s="30"/>
      <c r="O286" s="27"/>
      <c r="P286" s="27"/>
      <c r="Q286" s="27"/>
      <c r="R286" s="27"/>
      <c r="S286" s="27"/>
      <c r="T286" s="27"/>
      <c r="U286" s="27"/>
      <c r="V286" s="27"/>
      <c r="W286" s="27"/>
      <c r="X286" s="27"/>
    </row>
    <row r="287">
      <c r="A287" s="25">
        <v>1.0</v>
      </c>
      <c r="B287" s="25">
        <v>15.5312541531719</v>
      </c>
      <c r="C287" s="25">
        <v>3851.3233982458</v>
      </c>
      <c r="D287" s="25">
        <v>0.215499949158277</v>
      </c>
      <c r="E287" s="25">
        <v>0.147170575555005</v>
      </c>
      <c r="F287" s="25">
        <v>0.160948539489683</v>
      </c>
      <c r="G287" s="25">
        <v>0.0488981359613751</v>
      </c>
      <c r="H287" s="25">
        <v>25.7179396825258</v>
      </c>
      <c r="I287" s="25">
        <v>66.8202077461284</v>
      </c>
      <c r="J287" s="25">
        <v>41.0776983638733</v>
      </c>
      <c r="L287" s="29"/>
      <c r="M287" s="30"/>
      <c r="O287" s="27"/>
      <c r="P287" s="27"/>
      <c r="Q287" s="27"/>
      <c r="R287" s="27"/>
      <c r="S287" s="27"/>
      <c r="T287" s="27"/>
      <c r="U287" s="27"/>
      <c r="V287" s="27"/>
      <c r="W287" s="27"/>
      <c r="X287" s="27"/>
    </row>
    <row r="288">
      <c r="A288" s="25">
        <v>38.5831192833699</v>
      </c>
      <c r="B288" s="25">
        <v>9.25882991607235</v>
      </c>
      <c r="C288" s="25">
        <v>740.83511182307</v>
      </c>
      <c r="D288" s="25">
        <v>0.927946493165775</v>
      </c>
      <c r="E288" s="25">
        <v>0.854172466405885</v>
      </c>
      <c r="F288" s="25">
        <v>0.240848101210832</v>
      </c>
      <c r="G288" s="25">
        <v>3.87048275313655</v>
      </c>
      <c r="H288" s="25">
        <v>17.3194291411805</v>
      </c>
      <c r="I288" s="25">
        <v>51.5172891841518</v>
      </c>
      <c r="J288" s="25">
        <v>48.5555565902071</v>
      </c>
      <c r="L288" s="29"/>
      <c r="M288" s="30"/>
      <c r="O288" s="27"/>
      <c r="P288" s="27"/>
      <c r="Q288" s="27"/>
      <c r="R288" s="27"/>
      <c r="S288" s="27"/>
      <c r="T288" s="27"/>
      <c r="U288" s="27"/>
      <c r="V288" s="27"/>
      <c r="W288" s="27"/>
      <c r="X288" s="27"/>
    </row>
    <row r="289">
      <c r="A289" s="25">
        <v>46.4948089432392</v>
      </c>
      <c r="B289" s="25">
        <v>13.2118316799375</v>
      </c>
      <c r="C289" s="25">
        <v>717.599382548147</v>
      </c>
      <c r="D289" s="25">
        <v>0.168070865863655</v>
      </c>
      <c r="E289" s="25">
        <v>0.0353429228120676</v>
      </c>
      <c r="F289" s="25">
        <v>0.807239031117567</v>
      </c>
      <c r="G289" s="25">
        <v>8.6759051192938</v>
      </c>
      <c r="H289" s="25">
        <v>8.65091830233918</v>
      </c>
      <c r="I289" s="25">
        <v>53.3821615608763</v>
      </c>
      <c r="J289" s="25">
        <v>28.0180277227936</v>
      </c>
      <c r="L289" s="29"/>
      <c r="M289" s="30"/>
      <c r="O289" s="27"/>
      <c r="P289" s="27"/>
      <c r="Q289" s="27"/>
      <c r="R289" s="27"/>
      <c r="S289" s="27"/>
      <c r="T289" s="27"/>
      <c r="U289" s="27"/>
      <c r="V289" s="27"/>
      <c r="W289" s="27"/>
      <c r="X289" s="27"/>
    </row>
    <row r="290">
      <c r="A290" s="25">
        <v>35.4871037928876</v>
      </c>
      <c r="B290" s="25">
        <v>4.37156919374358</v>
      </c>
      <c r="C290" s="25">
        <v>1116.69361880565</v>
      </c>
      <c r="D290" s="25">
        <v>0.825147360894051</v>
      </c>
      <c r="E290" s="25">
        <v>0.730573086802148</v>
      </c>
      <c r="F290" s="25">
        <v>0.147094594988914</v>
      </c>
      <c r="G290" s="25">
        <v>5.04870712641656</v>
      </c>
      <c r="H290" s="25">
        <v>21.6216284523531</v>
      </c>
      <c r="I290" s="25">
        <v>54.1972621938415</v>
      </c>
      <c r="J290" s="25">
        <v>33.8783308284517</v>
      </c>
      <c r="L290" s="29"/>
      <c r="M290" s="30"/>
      <c r="O290" s="27"/>
      <c r="P290" s="27"/>
      <c r="Q290" s="27"/>
      <c r="R290" s="27"/>
      <c r="S290" s="27"/>
      <c r="T290" s="27"/>
      <c r="U290" s="27"/>
      <c r="V290" s="27"/>
      <c r="W290" s="27"/>
      <c r="X290" s="27"/>
    </row>
    <row r="291">
      <c r="A291" s="25">
        <v>34.9120766541199</v>
      </c>
      <c r="B291" s="25">
        <v>8.92591186075904</v>
      </c>
      <c r="C291" s="25">
        <v>865.150699834191</v>
      </c>
      <c r="D291" s="25">
        <v>0.186982657586233</v>
      </c>
      <c r="E291" s="25">
        <v>0.00453219562463536</v>
      </c>
      <c r="F291" s="25">
        <v>0.881830232485266</v>
      </c>
      <c r="G291" s="25">
        <v>8.10902078649401</v>
      </c>
      <c r="H291" s="25">
        <v>15.942534277189</v>
      </c>
      <c r="I291" s="25">
        <v>64.1076584577855</v>
      </c>
      <c r="J291" s="25">
        <v>29.7370054851436</v>
      </c>
      <c r="L291" s="29"/>
      <c r="M291" s="30"/>
      <c r="O291" s="27"/>
      <c r="P291" s="27"/>
      <c r="Q291" s="27"/>
      <c r="R291" s="27"/>
      <c r="S291" s="27"/>
      <c r="T291" s="27"/>
      <c r="U291" s="27"/>
      <c r="V291" s="27"/>
      <c r="W291" s="27"/>
      <c r="X291" s="27"/>
    </row>
    <row r="292">
      <c r="A292" s="25">
        <v>1.34399348277537</v>
      </c>
      <c r="B292" s="25">
        <v>25.9797529098129</v>
      </c>
      <c r="C292" s="25">
        <v>4033.06050581649</v>
      </c>
      <c r="D292" s="25">
        <v>0.222150106522368</v>
      </c>
      <c r="E292" s="25">
        <v>0.197577488528702</v>
      </c>
      <c r="F292" s="25">
        <v>0.0489418771219849</v>
      </c>
      <c r="G292" s="25">
        <v>2.47347189903522</v>
      </c>
      <c r="H292" s="25">
        <v>23.661794545506</v>
      </c>
      <c r="I292" s="25">
        <v>93.4677077521649</v>
      </c>
      <c r="J292" s="25">
        <v>18.0</v>
      </c>
      <c r="L292" s="29"/>
      <c r="M292" s="30"/>
      <c r="O292" s="27"/>
      <c r="P292" s="27"/>
      <c r="Q292" s="27"/>
      <c r="R292" s="27"/>
      <c r="S292" s="27"/>
      <c r="T292" s="27"/>
      <c r="U292" s="27"/>
      <c r="V292" s="27"/>
      <c r="W292" s="27"/>
      <c r="X292" s="27"/>
    </row>
    <row r="293">
      <c r="A293" s="25">
        <v>9.50452849879365</v>
      </c>
      <c r="B293" s="25">
        <v>17.5887173768641</v>
      </c>
      <c r="C293" s="25">
        <v>4345.81036050732</v>
      </c>
      <c r="D293" s="25">
        <v>0.22350220936841</v>
      </c>
      <c r="E293" s="25">
        <v>0.114618705258898</v>
      </c>
      <c r="F293" s="25">
        <v>0.0643913067911978</v>
      </c>
      <c r="G293" s="25">
        <v>1.88933463144267</v>
      </c>
      <c r="H293" s="25">
        <v>20.5167888634239</v>
      </c>
      <c r="I293" s="25">
        <v>93.4198369545212</v>
      </c>
      <c r="J293" s="25">
        <v>32.0463423964204</v>
      </c>
      <c r="L293" s="29"/>
      <c r="M293" s="30"/>
      <c r="O293" s="27"/>
      <c r="P293" s="27"/>
      <c r="Q293" s="27"/>
      <c r="R293" s="27"/>
      <c r="S293" s="27"/>
      <c r="T293" s="27"/>
      <c r="U293" s="27"/>
      <c r="V293" s="27"/>
      <c r="W293" s="27"/>
      <c r="X293" s="27"/>
    </row>
    <row r="294">
      <c r="A294" s="25">
        <v>31.8602356135671</v>
      </c>
      <c r="B294" s="25">
        <v>2.43776691506729</v>
      </c>
      <c r="C294" s="25">
        <v>244.218426873404</v>
      </c>
      <c r="D294" s="25">
        <v>0.0184362092269527</v>
      </c>
      <c r="E294" s="25">
        <v>0.0305029344710971</v>
      </c>
      <c r="F294" s="25">
        <v>0.310940847183297</v>
      </c>
      <c r="G294" s="25">
        <v>6.99296124237234</v>
      </c>
      <c r="H294" s="25">
        <v>3.46977671079747</v>
      </c>
      <c r="I294" s="25">
        <v>10.147972894274</v>
      </c>
      <c r="J294" s="25">
        <v>68.1913293661949</v>
      </c>
      <c r="L294" s="29"/>
      <c r="M294" s="30"/>
      <c r="O294" s="27"/>
      <c r="P294" s="27"/>
      <c r="Q294" s="27"/>
      <c r="R294" s="27"/>
      <c r="S294" s="27"/>
      <c r="T294" s="27"/>
      <c r="U294" s="27"/>
      <c r="V294" s="27"/>
      <c r="W294" s="27"/>
      <c r="X294" s="27"/>
    </row>
    <row r="295">
      <c r="A295" s="25">
        <v>33.1136453467151</v>
      </c>
      <c r="B295" s="25">
        <v>5.91619889251056</v>
      </c>
      <c r="C295" s="25">
        <v>653.691199530104</v>
      </c>
      <c r="D295" s="25">
        <v>0.624817119324828</v>
      </c>
      <c r="E295" s="25">
        <v>0.711007629344055</v>
      </c>
      <c r="F295" s="25">
        <v>0.211063744294409</v>
      </c>
      <c r="G295" s="25">
        <v>3.90337632998511</v>
      </c>
      <c r="H295" s="25">
        <v>13.3361322882105</v>
      </c>
      <c r="I295" s="25">
        <v>48.6510472716386</v>
      </c>
      <c r="J295" s="25">
        <v>46.0824619168496</v>
      </c>
      <c r="L295" s="29"/>
      <c r="M295" s="30"/>
      <c r="O295" s="27"/>
      <c r="P295" s="27"/>
      <c r="Q295" s="27"/>
      <c r="R295" s="27"/>
      <c r="S295" s="27"/>
      <c r="T295" s="27"/>
      <c r="U295" s="27"/>
      <c r="V295" s="27"/>
      <c r="W295" s="27"/>
      <c r="X295" s="27"/>
    </row>
    <row r="296">
      <c r="A296" s="25">
        <v>3.41434040026707</v>
      </c>
      <c r="B296" s="25">
        <v>23.1041116553739</v>
      </c>
      <c r="C296" s="25">
        <v>3198.22638485862</v>
      </c>
      <c r="D296" s="25">
        <v>0.162378238132348</v>
      </c>
      <c r="E296" s="25">
        <v>0.0766607404692161</v>
      </c>
      <c r="F296" s="25">
        <v>0.0749298926557181</v>
      </c>
      <c r="G296" s="25">
        <v>2.97531245847797</v>
      </c>
      <c r="H296" s="25">
        <v>27.5781404422197</v>
      </c>
      <c r="I296" s="25">
        <v>94.7842211202803</v>
      </c>
      <c r="J296" s="25">
        <v>39.1771403674714</v>
      </c>
      <c r="L296" s="29"/>
      <c r="M296" s="30"/>
      <c r="O296" s="27"/>
      <c r="P296" s="27"/>
      <c r="Q296" s="27"/>
      <c r="R296" s="27"/>
      <c r="S296" s="27"/>
      <c r="T296" s="27"/>
      <c r="U296" s="27"/>
      <c r="V296" s="27"/>
      <c r="W296" s="27"/>
      <c r="X296" s="27"/>
    </row>
    <row r="297">
      <c r="A297" s="25">
        <v>18.9633017146963</v>
      </c>
      <c r="B297" s="25">
        <v>9.00763232701732</v>
      </c>
      <c r="C297" s="25">
        <v>704.950217720634</v>
      </c>
      <c r="D297" s="25">
        <v>0.216528745201952</v>
      </c>
      <c r="E297" s="25">
        <v>0.0401605676786844</v>
      </c>
      <c r="F297" s="25">
        <v>0.839369768938911</v>
      </c>
      <c r="G297" s="25">
        <v>9.33943080516315</v>
      </c>
      <c r="H297" s="25">
        <v>27.1481010085804</v>
      </c>
      <c r="I297" s="25">
        <v>60.903134073705</v>
      </c>
      <c r="J297" s="25">
        <v>34.9862551170611</v>
      </c>
      <c r="L297" s="29"/>
      <c r="M297" s="30"/>
      <c r="O297" s="27"/>
      <c r="P297" s="27"/>
      <c r="Q297" s="27"/>
      <c r="R297" s="27"/>
      <c r="S297" s="27"/>
      <c r="T297" s="27"/>
      <c r="U297" s="27"/>
      <c r="V297" s="27"/>
      <c r="W297" s="27"/>
      <c r="X297" s="27"/>
    </row>
    <row r="298">
      <c r="A298" s="25">
        <v>135.633036730776</v>
      </c>
      <c r="B298" s="25">
        <v>2.07353748459945</v>
      </c>
      <c r="C298" s="25">
        <v>169.743962870146</v>
      </c>
      <c r="D298" s="25">
        <v>0.00599949830461181</v>
      </c>
      <c r="E298" s="25">
        <v>0.108508481154453</v>
      </c>
      <c r="F298" s="25">
        <v>0.111684979194141</v>
      </c>
      <c r="G298" s="25">
        <v>4.44152142059311</v>
      </c>
      <c r="H298" s="25">
        <v>3.65596978055844</v>
      </c>
      <c r="I298" s="25">
        <v>16.4814042946393</v>
      </c>
      <c r="J298" s="25">
        <v>67.9781140492892</v>
      </c>
      <c r="L298" s="29"/>
      <c r="M298" s="30"/>
      <c r="O298" s="27"/>
      <c r="P298" s="27"/>
      <c r="Q298" s="27"/>
      <c r="R298" s="27"/>
      <c r="S298" s="27"/>
      <c r="T298" s="27"/>
      <c r="U298" s="27"/>
      <c r="V298" s="27"/>
      <c r="W298" s="27"/>
      <c r="X298" s="27"/>
    </row>
    <row r="299">
      <c r="A299" s="25">
        <v>11.1114492790042</v>
      </c>
      <c r="B299" s="25">
        <v>25.1154632532535</v>
      </c>
      <c r="C299" s="25">
        <v>3238.14689540896</v>
      </c>
      <c r="D299" s="25">
        <v>0.166150243077073</v>
      </c>
      <c r="E299" s="25">
        <v>0.111367027736458</v>
      </c>
      <c r="F299" s="25">
        <v>0.14150959059313</v>
      </c>
      <c r="G299" s="25">
        <v>2.90039858839506</v>
      </c>
      <c r="H299" s="25">
        <v>27.2561265965925</v>
      </c>
      <c r="I299" s="25">
        <v>96.8349366688992</v>
      </c>
      <c r="J299" s="25">
        <v>25.5756730609889</v>
      </c>
      <c r="L299" s="29"/>
      <c r="M299" s="30"/>
      <c r="O299" s="27"/>
      <c r="P299" s="27"/>
      <c r="Q299" s="27"/>
      <c r="R299" s="27"/>
      <c r="S299" s="27"/>
      <c r="T299" s="27"/>
      <c r="U299" s="27"/>
      <c r="V299" s="27"/>
      <c r="W299" s="27"/>
      <c r="X299" s="27"/>
    </row>
    <row r="300">
      <c r="A300" s="25">
        <v>46.6722411155113</v>
      </c>
      <c r="B300" s="25">
        <v>14.5697158651367</v>
      </c>
      <c r="C300" s="25">
        <v>1083.90549931143</v>
      </c>
      <c r="D300" s="25">
        <v>0.239089945438553</v>
      </c>
      <c r="E300" s="25">
        <v>0.0171688396161113</v>
      </c>
      <c r="F300" s="25">
        <v>0.697555186373734</v>
      </c>
      <c r="G300" s="25">
        <v>6.89704480897707</v>
      </c>
      <c r="H300" s="25">
        <v>21.6073966187867</v>
      </c>
      <c r="I300" s="25">
        <v>54.4985926039785</v>
      </c>
      <c r="J300" s="25">
        <v>35.3024660453624</v>
      </c>
      <c r="L300" s="29"/>
      <c r="M300" s="30"/>
      <c r="O300" s="27"/>
      <c r="P300" s="27"/>
      <c r="Q300" s="27"/>
      <c r="R300" s="27"/>
      <c r="S300" s="27"/>
      <c r="T300" s="27"/>
      <c r="U300" s="27"/>
      <c r="V300" s="27"/>
      <c r="W300" s="27"/>
      <c r="X300" s="27"/>
    </row>
    <row r="301">
      <c r="A301" s="25">
        <v>16.8526807199835</v>
      </c>
      <c r="B301" s="25">
        <v>22.7808116003359</v>
      </c>
      <c r="C301" s="25">
        <v>4227.0008189292</v>
      </c>
      <c r="D301" s="25">
        <v>0.150606332954962</v>
      </c>
      <c r="E301" s="25">
        <v>0.107657451693731</v>
      </c>
      <c r="F301" s="25">
        <v>0.162480945264833</v>
      </c>
      <c r="G301" s="25">
        <v>2.77934900390533</v>
      </c>
      <c r="H301" s="25">
        <v>24.8049024031122</v>
      </c>
      <c r="I301" s="25">
        <v>80.8209045423411</v>
      </c>
      <c r="J301" s="25">
        <v>18.7935370151089</v>
      </c>
      <c r="L301" s="29"/>
      <c r="M301" s="30"/>
      <c r="O301" s="27"/>
      <c r="P301" s="27"/>
      <c r="Q301" s="27"/>
      <c r="R301" s="27"/>
      <c r="S301" s="27"/>
      <c r="T301" s="27"/>
      <c r="U301" s="27"/>
      <c r="V301" s="27"/>
      <c r="W301" s="27"/>
      <c r="X301" s="27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L302" s="29"/>
      <c r="M302" s="30"/>
      <c r="O302" s="27"/>
      <c r="P302" s="27"/>
      <c r="Q302" s="27"/>
      <c r="R302" s="27"/>
      <c r="S302" s="27"/>
      <c r="T302" s="27"/>
      <c r="U302" s="27"/>
      <c r="V302" s="27"/>
      <c r="W302" s="27"/>
      <c r="X302" s="27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L303" s="29"/>
      <c r="M303" s="30"/>
      <c r="O303" s="27"/>
      <c r="P303" s="27"/>
      <c r="Q303" s="27"/>
      <c r="R303" s="27"/>
      <c r="S303" s="27"/>
      <c r="T303" s="27"/>
      <c r="U303" s="27"/>
      <c r="V303" s="27"/>
      <c r="W303" s="27"/>
      <c r="X303" s="27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L304" s="29"/>
      <c r="M304" s="30"/>
      <c r="O304" s="27"/>
      <c r="P304" s="27"/>
      <c r="Q304" s="27"/>
      <c r="R304" s="27"/>
      <c r="S304" s="27"/>
      <c r="T304" s="27"/>
      <c r="U304" s="27"/>
      <c r="V304" s="27"/>
      <c r="W304" s="27"/>
      <c r="X304" s="27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L305" s="29"/>
      <c r="M305" s="30"/>
      <c r="O305" s="27"/>
      <c r="P305" s="27"/>
      <c r="Q305" s="27"/>
      <c r="R305" s="27"/>
      <c r="S305" s="27"/>
      <c r="T305" s="27"/>
      <c r="U305" s="27"/>
      <c r="V305" s="27"/>
      <c r="W305" s="27"/>
      <c r="X305" s="27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L306" s="29"/>
      <c r="M306" s="30"/>
      <c r="O306" s="27"/>
      <c r="P306" s="27"/>
      <c r="Q306" s="27"/>
      <c r="R306" s="27"/>
      <c r="S306" s="27"/>
      <c r="T306" s="27"/>
      <c r="U306" s="27"/>
      <c r="V306" s="27"/>
      <c r="W306" s="27"/>
      <c r="X306" s="27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L307" s="29"/>
      <c r="M307" s="30"/>
      <c r="O307" s="27"/>
      <c r="P307" s="27"/>
      <c r="Q307" s="27"/>
      <c r="R307" s="27"/>
      <c r="S307" s="27"/>
      <c r="T307" s="27"/>
      <c r="U307" s="27"/>
      <c r="V307" s="27"/>
      <c r="W307" s="27"/>
      <c r="X307" s="27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L308" s="29"/>
      <c r="M308" s="30"/>
      <c r="O308" s="27"/>
      <c r="P308" s="27"/>
      <c r="Q308" s="27"/>
      <c r="R308" s="27"/>
      <c r="S308" s="27"/>
      <c r="T308" s="27"/>
      <c r="U308" s="27"/>
      <c r="V308" s="27"/>
      <c r="W308" s="27"/>
      <c r="X308" s="27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L309" s="29"/>
      <c r="M309" s="30"/>
      <c r="O309" s="27"/>
      <c r="P309" s="27"/>
      <c r="Q309" s="27"/>
      <c r="R309" s="27"/>
      <c r="S309" s="27"/>
      <c r="T309" s="27"/>
      <c r="U309" s="27"/>
      <c r="V309" s="27"/>
      <c r="W309" s="27"/>
      <c r="X309" s="27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L310" s="29"/>
      <c r="M310" s="30"/>
      <c r="O310" s="27"/>
      <c r="P310" s="27"/>
      <c r="Q310" s="27"/>
      <c r="R310" s="27"/>
      <c r="S310" s="27"/>
      <c r="T310" s="27"/>
      <c r="U310" s="27"/>
      <c r="V310" s="27"/>
      <c r="W310" s="27"/>
      <c r="X310" s="27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L311" s="29"/>
      <c r="M311" s="30"/>
      <c r="O311" s="27"/>
      <c r="P311" s="27"/>
      <c r="Q311" s="27"/>
      <c r="R311" s="27"/>
      <c r="S311" s="27"/>
      <c r="T311" s="27"/>
      <c r="U311" s="27"/>
      <c r="V311" s="27"/>
      <c r="W311" s="27"/>
      <c r="X311" s="27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L312" s="29"/>
      <c r="M312" s="30"/>
      <c r="O312" s="27"/>
      <c r="P312" s="27"/>
      <c r="Q312" s="27"/>
      <c r="R312" s="27"/>
      <c r="S312" s="27"/>
      <c r="T312" s="27"/>
      <c r="U312" s="27"/>
      <c r="V312" s="27"/>
      <c r="W312" s="27"/>
      <c r="X312" s="27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L313" s="29"/>
      <c r="M313" s="30"/>
      <c r="O313" s="27"/>
      <c r="P313" s="27"/>
      <c r="Q313" s="27"/>
      <c r="R313" s="27"/>
      <c r="S313" s="27"/>
      <c r="T313" s="27"/>
      <c r="U313" s="27"/>
      <c r="V313" s="27"/>
      <c r="W313" s="27"/>
      <c r="X313" s="27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L314" s="29"/>
      <c r="M314" s="30"/>
      <c r="O314" s="27"/>
      <c r="P314" s="27"/>
      <c r="Q314" s="27"/>
      <c r="R314" s="27"/>
      <c r="S314" s="27"/>
      <c r="T314" s="27"/>
      <c r="U314" s="27"/>
      <c r="V314" s="27"/>
      <c r="W314" s="27"/>
      <c r="X314" s="27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L315" s="29"/>
      <c r="M315" s="30"/>
      <c r="O315" s="27"/>
      <c r="P315" s="27"/>
      <c r="Q315" s="27"/>
      <c r="R315" s="27"/>
      <c r="S315" s="27"/>
      <c r="T315" s="27"/>
      <c r="U315" s="27"/>
      <c r="V315" s="27"/>
      <c r="W315" s="27"/>
      <c r="X315" s="27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L316" s="29"/>
      <c r="M316" s="30"/>
      <c r="O316" s="27"/>
      <c r="P316" s="27"/>
      <c r="Q316" s="27"/>
      <c r="R316" s="27"/>
      <c r="S316" s="27"/>
      <c r="T316" s="27"/>
      <c r="U316" s="27"/>
      <c r="V316" s="27"/>
      <c r="W316" s="27"/>
      <c r="X316" s="27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L317" s="29"/>
      <c r="M317" s="30"/>
      <c r="O317" s="27"/>
      <c r="P317" s="27"/>
      <c r="Q317" s="27"/>
      <c r="R317" s="27"/>
      <c r="S317" s="27"/>
      <c r="T317" s="27"/>
      <c r="U317" s="27"/>
      <c r="V317" s="27"/>
      <c r="W317" s="27"/>
      <c r="X317" s="27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L318" s="29"/>
      <c r="M318" s="30"/>
      <c r="O318" s="27"/>
      <c r="P318" s="27"/>
      <c r="Q318" s="27"/>
      <c r="R318" s="27"/>
      <c r="S318" s="27"/>
      <c r="T318" s="27"/>
      <c r="U318" s="27"/>
      <c r="V318" s="27"/>
      <c r="W318" s="27"/>
      <c r="X318" s="27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L319" s="29"/>
      <c r="M319" s="30"/>
      <c r="O319" s="27"/>
      <c r="P319" s="27"/>
      <c r="Q319" s="27"/>
      <c r="R319" s="27"/>
      <c r="S319" s="27"/>
      <c r="T319" s="27"/>
      <c r="U319" s="27"/>
      <c r="V319" s="27"/>
      <c r="W319" s="27"/>
      <c r="X319" s="27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L320" s="29"/>
      <c r="M320" s="30"/>
      <c r="O320" s="27"/>
      <c r="P320" s="27"/>
      <c r="Q320" s="27"/>
      <c r="R320" s="27"/>
      <c r="S320" s="27"/>
      <c r="T320" s="27"/>
      <c r="U320" s="27"/>
      <c r="V320" s="27"/>
      <c r="W320" s="27"/>
      <c r="X320" s="27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L321" s="29"/>
      <c r="M321" s="30"/>
      <c r="O321" s="27"/>
      <c r="P321" s="27"/>
      <c r="Q321" s="27"/>
      <c r="R321" s="27"/>
      <c r="S321" s="27"/>
      <c r="T321" s="27"/>
      <c r="U321" s="27"/>
      <c r="V321" s="27"/>
      <c r="W321" s="27"/>
      <c r="X321" s="27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L322" s="29"/>
      <c r="M322" s="30"/>
      <c r="O322" s="27"/>
      <c r="P322" s="27"/>
      <c r="Q322" s="27"/>
      <c r="R322" s="27"/>
      <c r="S322" s="27"/>
      <c r="T322" s="27"/>
      <c r="U322" s="27"/>
      <c r="V322" s="27"/>
      <c r="W322" s="27"/>
      <c r="X322" s="27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L323" s="29"/>
      <c r="M323" s="30"/>
      <c r="O323" s="27"/>
      <c r="P323" s="27"/>
      <c r="Q323" s="27"/>
      <c r="R323" s="27"/>
      <c r="S323" s="27"/>
      <c r="T323" s="27"/>
      <c r="U323" s="27"/>
      <c r="V323" s="27"/>
      <c r="W323" s="27"/>
      <c r="X323" s="27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L324" s="29"/>
      <c r="M324" s="30"/>
      <c r="O324" s="27"/>
      <c r="P324" s="27"/>
      <c r="Q324" s="27"/>
      <c r="R324" s="27"/>
      <c r="S324" s="27"/>
      <c r="T324" s="27"/>
      <c r="U324" s="27"/>
      <c r="V324" s="27"/>
      <c r="W324" s="27"/>
      <c r="X324" s="27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L325" s="29"/>
      <c r="M325" s="30"/>
      <c r="O325" s="27"/>
      <c r="P325" s="27"/>
      <c r="Q325" s="27"/>
      <c r="R325" s="27"/>
      <c r="S325" s="27"/>
      <c r="T325" s="27"/>
      <c r="U325" s="27"/>
      <c r="V325" s="27"/>
      <c r="W325" s="27"/>
      <c r="X325" s="27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L326" s="29"/>
      <c r="M326" s="30"/>
      <c r="O326" s="27"/>
      <c r="P326" s="27"/>
      <c r="Q326" s="27"/>
      <c r="R326" s="27"/>
      <c r="S326" s="27"/>
      <c r="T326" s="27"/>
      <c r="U326" s="27"/>
      <c r="V326" s="27"/>
      <c r="W326" s="27"/>
      <c r="X326" s="27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L327" s="29"/>
      <c r="M327" s="30"/>
      <c r="O327" s="27"/>
      <c r="P327" s="27"/>
      <c r="Q327" s="27"/>
      <c r="R327" s="27"/>
      <c r="S327" s="27"/>
      <c r="T327" s="27"/>
      <c r="U327" s="27"/>
      <c r="V327" s="27"/>
      <c r="W327" s="27"/>
      <c r="X327" s="27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L328" s="29"/>
      <c r="M328" s="30"/>
      <c r="O328" s="27"/>
      <c r="P328" s="27"/>
      <c r="Q328" s="27"/>
      <c r="R328" s="27"/>
      <c r="S328" s="27"/>
      <c r="T328" s="27"/>
      <c r="U328" s="27"/>
      <c r="V328" s="27"/>
      <c r="W328" s="27"/>
      <c r="X328" s="27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L329" s="29"/>
      <c r="M329" s="30"/>
      <c r="O329" s="27"/>
      <c r="P329" s="27"/>
      <c r="Q329" s="27"/>
      <c r="R329" s="27"/>
      <c r="S329" s="27"/>
      <c r="T329" s="27"/>
      <c r="U329" s="27"/>
      <c r="V329" s="27"/>
      <c r="W329" s="27"/>
      <c r="X329" s="27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L330" s="29"/>
      <c r="M330" s="30"/>
      <c r="O330" s="27"/>
      <c r="P330" s="27"/>
      <c r="Q330" s="27"/>
      <c r="R330" s="27"/>
      <c r="S330" s="27"/>
      <c r="T330" s="27"/>
      <c r="U330" s="27"/>
      <c r="V330" s="27"/>
      <c r="W330" s="27"/>
      <c r="X330" s="27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L331" s="29"/>
      <c r="M331" s="30"/>
      <c r="O331" s="27"/>
      <c r="P331" s="27"/>
      <c r="Q331" s="27"/>
      <c r="R331" s="27"/>
      <c r="S331" s="27"/>
      <c r="T331" s="27"/>
      <c r="U331" s="27"/>
      <c r="V331" s="27"/>
      <c r="W331" s="27"/>
      <c r="X331" s="27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L332" s="29"/>
      <c r="M332" s="30"/>
      <c r="O332" s="27"/>
      <c r="P332" s="27"/>
      <c r="Q332" s="27"/>
      <c r="R332" s="27"/>
      <c r="S332" s="27"/>
      <c r="T332" s="27"/>
      <c r="U332" s="27"/>
      <c r="V332" s="27"/>
      <c r="W332" s="27"/>
      <c r="X332" s="27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L333" s="29"/>
      <c r="M333" s="30"/>
      <c r="O333" s="27"/>
      <c r="P333" s="27"/>
      <c r="Q333" s="27"/>
      <c r="R333" s="27"/>
      <c r="S333" s="27"/>
      <c r="T333" s="27"/>
      <c r="U333" s="27"/>
      <c r="V333" s="27"/>
      <c r="W333" s="27"/>
      <c r="X333" s="27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L334" s="29"/>
      <c r="M334" s="30"/>
      <c r="O334" s="27"/>
      <c r="P334" s="27"/>
      <c r="Q334" s="27"/>
      <c r="R334" s="27"/>
      <c r="S334" s="27"/>
      <c r="T334" s="27"/>
      <c r="U334" s="27"/>
      <c r="V334" s="27"/>
      <c r="W334" s="27"/>
      <c r="X334" s="27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L335" s="29"/>
      <c r="M335" s="30"/>
      <c r="O335" s="27"/>
      <c r="P335" s="27"/>
      <c r="Q335" s="27"/>
      <c r="R335" s="27"/>
      <c r="S335" s="27"/>
      <c r="T335" s="27"/>
      <c r="U335" s="27"/>
      <c r="V335" s="27"/>
      <c r="W335" s="27"/>
      <c r="X335" s="27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L336" s="29"/>
      <c r="M336" s="30"/>
      <c r="O336" s="27"/>
      <c r="P336" s="27"/>
      <c r="Q336" s="27"/>
      <c r="R336" s="27"/>
      <c r="S336" s="27"/>
      <c r="T336" s="27"/>
      <c r="U336" s="27"/>
      <c r="V336" s="27"/>
      <c r="W336" s="27"/>
      <c r="X336" s="27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L337" s="29"/>
      <c r="M337" s="30"/>
      <c r="O337" s="27"/>
      <c r="P337" s="27"/>
      <c r="Q337" s="27"/>
      <c r="R337" s="27"/>
      <c r="S337" s="27"/>
      <c r="T337" s="27"/>
      <c r="U337" s="27"/>
      <c r="V337" s="27"/>
      <c r="W337" s="27"/>
      <c r="X337" s="27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L338" s="29"/>
      <c r="M338" s="30"/>
      <c r="O338" s="27"/>
      <c r="P338" s="27"/>
      <c r="Q338" s="27"/>
      <c r="R338" s="27"/>
      <c r="S338" s="27"/>
      <c r="T338" s="27"/>
      <c r="U338" s="27"/>
      <c r="V338" s="27"/>
      <c r="W338" s="27"/>
      <c r="X338" s="27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L339" s="29"/>
      <c r="M339" s="30"/>
      <c r="O339" s="27"/>
      <c r="P339" s="27"/>
      <c r="Q339" s="27"/>
      <c r="R339" s="27"/>
      <c r="S339" s="27"/>
      <c r="T339" s="27"/>
      <c r="U339" s="27"/>
      <c r="V339" s="27"/>
      <c r="W339" s="27"/>
      <c r="X339" s="27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L340" s="29"/>
      <c r="M340" s="30"/>
      <c r="O340" s="27"/>
      <c r="P340" s="27"/>
      <c r="Q340" s="27"/>
      <c r="R340" s="27"/>
      <c r="S340" s="27"/>
      <c r="T340" s="27"/>
      <c r="U340" s="27"/>
      <c r="V340" s="27"/>
      <c r="W340" s="27"/>
      <c r="X340" s="27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L341" s="29"/>
      <c r="M341" s="30"/>
      <c r="O341" s="27"/>
      <c r="P341" s="27"/>
      <c r="Q341" s="27"/>
      <c r="R341" s="27"/>
      <c r="S341" s="27"/>
      <c r="T341" s="27"/>
      <c r="U341" s="27"/>
      <c r="V341" s="27"/>
      <c r="W341" s="27"/>
      <c r="X341" s="27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L342" s="29"/>
      <c r="M342" s="30"/>
      <c r="O342" s="27"/>
      <c r="P342" s="27"/>
      <c r="Q342" s="27"/>
      <c r="R342" s="27"/>
      <c r="S342" s="27"/>
      <c r="T342" s="27"/>
      <c r="U342" s="27"/>
      <c r="V342" s="27"/>
      <c r="W342" s="27"/>
      <c r="X342" s="27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L343" s="29"/>
      <c r="M343" s="30"/>
      <c r="O343" s="27"/>
      <c r="P343" s="27"/>
      <c r="Q343" s="27"/>
      <c r="R343" s="27"/>
      <c r="S343" s="27"/>
      <c r="T343" s="27"/>
      <c r="U343" s="27"/>
      <c r="V343" s="27"/>
      <c r="W343" s="27"/>
      <c r="X343" s="27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L344" s="29"/>
      <c r="M344" s="30"/>
      <c r="O344" s="27"/>
      <c r="P344" s="27"/>
      <c r="Q344" s="27"/>
      <c r="R344" s="27"/>
      <c r="S344" s="27"/>
      <c r="T344" s="27"/>
      <c r="U344" s="27"/>
      <c r="V344" s="27"/>
      <c r="W344" s="27"/>
      <c r="X344" s="27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L345" s="29"/>
      <c r="M345" s="30"/>
      <c r="O345" s="27"/>
      <c r="P345" s="27"/>
      <c r="Q345" s="27"/>
      <c r="R345" s="27"/>
      <c r="S345" s="27"/>
      <c r="T345" s="27"/>
      <c r="U345" s="27"/>
      <c r="V345" s="27"/>
      <c r="W345" s="27"/>
      <c r="X345" s="27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L346" s="29"/>
      <c r="M346" s="30"/>
      <c r="O346" s="27"/>
      <c r="P346" s="27"/>
      <c r="Q346" s="27"/>
      <c r="R346" s="27"/>
      <c r="S346" s="27"/>
      <c r="T346" s="27"/>
      <c r="U346" s="27"/>
      <c r="V346" s="27"/>
      <c r="W346" s="27"/>
      <c r="X346" s="27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L347" s="29"/>
      <c r="M347" s="30"/>
      <c r="O347" s="27"/>
      <c r="P347" s="27"/>
      <c r="Q347" s="27"/>
      <c r="R347" s="27"/>
      <c r="S347" s="27"/>
      <c r="T347" s="27"/>
      <c r="U347" s="27"/>
      <c r="V347" s="27"/>
      <c r="W347" s="27"/>
      <c r="X347" s="27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L348" s="29"/>
      <c r="M348" s="30"/>
      <c r="O348" s="27"/>
      <c r="P348" s="27"/>
      <c r="Q348" s="27"/>
      <c r="R348" s="27"/>
      <c r="S348" s="27"/>
      <c r="T348" s="27"/>
      <c r="U348" s="27"/>
      <c r="V348" s="27"/>
      <c r="W348" s="27"/>
      <c r="X348" s="27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L349" s="29"/>
      <c r="M349" s="30"/>
      <c r="O349" s="27"/>
      <c r="P349" s="27"/>
      <c r="Q349" s="27"/>
      <c r="R349" s="27"/>
      <c r="S349" s="27"/>
      <c r="T349" s="27"/>
      <c r="U349" s="27"/>
      <c r="V349" s="27"/>
      <c r="W349" s="27"/>
      <c r="X349" s="27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L350" s="29"/>
      <c r="M350" s="30"/>
      <c r="O350" s="27"/>
      <c r="P350" s="27"/>
      <c r="Q350" s="27"/>
      <c r="R350" s="27"/>
      <c r="S350" s="27"/>
      <c r="T350" s="27"/>
      <c r="U350" s="27"/>
      <c r="V350" s="27"/>
      <c r="W350" s="27"/>
      <c r="X350" s="27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L351" s="29"/>
      <c r="M351" s="30"/>
      <c r="O351" s="27"/>
      <c r="P351" s="27"/>
      <c r="Q351" s="27"/>
      <c r="R351" s="27"/>
      <c r="S351" s="27"/>
      <c r="T351" s="27"/>
      <c r="U351" s="27"/>
      <c r="V351" s="27"/>
      <c r="W351" s="27"/>
      <c r="X351" s="27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L352" s="29"/>
      <c r="M352" s="30"/>
      <c r="O352" s="27"/>
      <c r="P352" s="27"/>
      <c r="Q352" s="27"/>
      <c r="R352" s="27"/>
      <c r="S352" s="27"/>
      <c r="T352" s="27"/>
      <c r="U352" s="27"/>
      <c r="V352" s="27"/>
      <c r="W352" s="27"/>
      <c r="X352" s="27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L353" s="29"/>
      <c r="M353" s="30"/>
      <c r="O353" s="27"/>
      <c r="P353" s="27"/>
      <c r="Q353" s="27"/>
      <c r="R353" s="27"/>
      <c r="S353" s="27"/>
      <c r="T353" s="27"/>
      <c r="U353" s="27"/>
      <c r="V353" s="27"/>
      <c r="W353" s="27"/>
      <c r="X353" s="27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L354" s="29"/>
      <c r="M354" s="30"/>
      <c r="O354" s="27"/>
      <c r="P354" s="27"/>
      <c r="Q354" s="27"/>
      <c r="R354" s="27"/>
      <c r="S354" s="27"/>
      <c r="T354" s="27"/>
      <c r="U354" s="27"/>
      <c r="V354" s="27"/>
      <c r="W354" s="27"/>
      <c r="X354" s="27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L355" s="29"/>
      <c r="M355" s="30"/>
      <c r="O355" s="27"/>
      <c r="P355" s="27"/>
      <c r="Q355" s="27"/>
      <c r="R355" s="27"/>
      <c r="S355" s="27"/>
      <c r="T355" s="27"/>
      <c r="U355" s="27"/>
      <c r="V355" s="27"/>
      <c r="W355" s="27"/>
      <c r="X355" s="27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L356" s="29"/>
      <c r="M356" s="30"/>
      <c r="O356" s="27"/>
      <c r="P356" s="27"/>
      <c r="Q356" s="27"/>
      <c r="R356" s="27"/>
      <c r="S356" s="27"/>
      <c r="T356" s="27"/>
      <c r="U356" s="27"/>
      <c r="V356" s="27"/>
      <c r="W356" s="27"/>
      <c r="X356" s="27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L357" s="29"/>
      <c r="M357" s="30"/>
      <c r="O357" s="27"/>
      <c r="P357" s="27"/>
      <c r="Q357" s="27"/>
      <c r="R357" s="27"/>
      <c r="S357" s="27"/>
      <c r="T357" s="27"/>
      <c r="U357" s="27"/>
      <c r="V357" s="27"/>
      <c r="W357" s="27"/>
      <c r="X357" s="27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L358" s="29"/>
      <c r="M358" s="30"/>
      <c r="O358" s="27"/>
      <c r="P358" s="27"/>
      <c r="Q358" s="27"/>
      <c r="R358" s="27"/>
      <c r="S358" s="27"/>
      <c r="T358" s="27"/>
      <c r="U358" s="27"/>
      <c r="V358" s="27"/>
      <c r="W358" s="27"/>
      <c r="X358" s="27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L359" s="29"/>
      <c r="M359" s="30"/>
      <c r="O359" s="27"/>
      <c r="P359" s="27"/>
      <c r="Q359" s="27"/>
      <c r="R359" s="27"/>
      <c r="S359" s="27"/>
      <c r="T359" s="27"/>
      <c r="U359" s="27"/>
      <c r="V359" s="27"/>
      <c r="W359" s="27"/>
      <c r="X359" s="27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L360" s="29"/>
      <c r="M360" s="30"/>
      <c r="O360" s="27"/>
      <c r="P360" s="27"/>
      <c r="Q360" s="27"/>
      <c r="R360" s="27"/>
      <c r="S360" s="27"/>
      <c r="T360" s="27"/>
      <c r="U360" s="27"/>
      <c r="V360" s="27"/>
      <c r="W360" s="27"/>
      <c r="X360" s="27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L361" s="29"/>
      <c r="M361" s="30"/>
      <c r="O361" s="27"/>
      <c r="P361" s="27"/>
      <c r="Q361" s="27"/>
      <c r="R361" s="27"/>
      <c r="S361" s="27"/>
      <c r="T361" s="27"/>
      <c r="U361" s="27"/>
      <c r="V361" s="27"/>
      <c r="W361" s="27"/>
      <c r="X361" s="27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L362" s="29"/>
      <c r="M362" s="30"/>
      <c r="O362" s="27"/>
      <c r="P362" s="27"/>
      <c r="Q362" s="27"/>
      <c r="R362" s="27"/>
      <c r="S362" s="27"/>
      <c r="T362" s="27"/>
      <c r="U362" s="27"/>
      <c r="V362" s="27"/>
      <c r="W362" s="27"/>
      <c r="X362" s="27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L363" s="29"/>
      <c r="M363" s="30"/>
      <c r="O363" s="27"/>
      <c r="P363" s="27"/>
      <c r="Q363" s="27"/>
      <c r="R363" s="27"/>
      <c r="S363" s="27"/>
      <c r="T363" s="27"/>
      <c r="U363" s="27"/>
      <c r="V363" s="27"/>
      <c r="W363" s="27"/>
      <c r="X363" s="27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L364" s="29"/>
      <c r="M364" s="30"/>
      <c r="O364" s="27"/>
      <c r="P364" s="27"/>
      <c r="Q364" s="27"/>
      <c r="R364" s="27"/>
      <c r="S364" s="27"/>
      <c r="T364" s="27"/>
      <c r="U364" s="27"/>
      <c r="V364" s="27"/>
      <c r="W364" s="27"/>
      <c r="X364" s="27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L365" s="29"/>
      <c r="M365" s="30"/>
      <c r="O365" s="27"/>
      <c r="P365" s="27"/>
      <c r="Q365" s="27"/>
      <c r="R365" s="27"/>
      <c r="S365" s="27"/>
      <c r="T365" s="27"/>
      <c r="U365" s="27"/>
      <c r="V365" s="27"/>
      <c r="W365" s="27"/>
      <c r="X365" s="27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L366" s="29"/>
      <c r="M366" s="30"/>
      <c r="O366" s="27"/>
      <c r="P366" s="27"/>
      <c r="Q366" s="27"/>
      <c r="R366" s="27"/>
      <c r="S366" s="27"/>
      <c r="T366" s="27"/>
      <c r="U366" s="27"/>
      <c r="V366" s="27"/>
      <c r="W366" s="27"/>
      <c r="X366" s="27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L367" s="29"/>
      <c r="M367" s="30"/>
      <c r="O367" s="27"/>
      <c r="P367" s="27"/>
      <c r="Q367" s="27"/>
      <c r="R367" s="27"/>
      <c r="S367" s="27"/>
      <c r="T367" s="27"/>
      <c r="U367" s="27"/>
      <c r="V367" s="27"/>
      <c r="W367" s="27"/>
      <c r="X367" s="27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L368" s="29"/>
      <c r="M368" s="30"/>
      <c r="O368" s="27"/>
      <c r="P368" s="27"/>
      <c r="Q368" s="27"/>
      <c r="R368" s="27"/>
      <c r="S368" s="27"/>
      <c r="T368" s="27"/>
      <c r="U368" s="27"/>
      <c r="V368" s="27"/>
      <c r="W368" s="27"/>
      <c r="X368" s="27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L369" s="29"/>
      <c r="M369" s="30"/>
      <c r="O369" s="27"/>
      <c r="P369" s="27"/>
      <c r="Q369" s="27"/>
      <c r="R369" s="27"/>
      <c r="S369" s="27"/>
      <c r="T369" s="27"/>
      <c r="U369" s="27"/>
      <c r="V369" s="27"/>
      <c r="W369" s="27"/>
      <c r="X369" s="27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L370" s="29"/>
      <c r="M370" s="30"/>
      <c r="O370" s="27"/>
      <c r="P370" s="27"/>
      <c r="Q370" s="27"/>
      <c r="R370" s="27"/>
      <c r="S370" s="27"/>
      <c r="T370" s="27"/>
      <c r="U370" s="27"/>
      <c r="V370" s="27"/>
      <c r="W370" s="27"/>
      <c r="X370" s="27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L371" s="29"/>
      <c r="M371" s="30"/>
      <c r="O371" s="27"/>
      <c r="P371" s="27"/>
      <c r="Q371" s="27"/>
      <c r="R371" s="27"/>
      <c r="S371" s="27"/>
      <c r="T371" s="27"/>
      <c r="U371" s="27"/>
      <c r="V371" s="27"/>
      <c r="W371" s="27"/>
      <c r="X371" s="27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L372" s="29"/>
      <c r="M372" s="30"/>
      <c r="O372" s="27"/>
      <c r="P372" s="27"/>
      <c r="Q372" s="27"/>
      <c r="R372" s="27"/>
      <c r="S372" s="27"/>
      <c r="T372" s="27"/>
      <c r="U372" s="27"/>
      <c r="V372" s="27"/>
      <c r="W372" s="27"/>
      <c r="X372" s="27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L373" s="29"/>
      <c r="M373" s="30"/>
      <c r="O373" s="27"/>
      <c r="P373" s="27"/>
      <c r="Q373" s="27"/>
      <c r="R373" s="27"/>
      <c r="S373" s="27"/>
      <c r="T373" s="27"/>
      <c r="U373" s="27"/>
      <c r="V373" s="27"/>
      <c r="W373" s="27"/>
      <c r="X373" s="27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L374" s="29"/>
      <c r="M374" s="30"/>
      <c r="O374" s="27"/>
      <c r="P374" s="27"/>
      <c r="Q374" s="27"/>
      <c r="R374" s="27"/>
      <c r="S374" s="27"/>
      <c r="T374" s="27"/>
      <c r="U374" s="27"/>
      <c r="V374" s="27"/>
      <c r="W374" s="27"/>
      <c r="X374" s="27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L375" s="29"/>
      <c r="M375" s="30"/>
      <c r="O375" s="27"/>
      <c r="P375" s="27"/>
      <c r="Q375" s="27"/>
      <c r="R375" s="27"/>
      <c r="S375" s="27"/>
      <c r="T375" s="27"/>
      <c r="U375" s="27"/>
      <c r="V375" s="27"/>
      <c r="W375" s="27"/>
      <c r="X375" s="27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L376" s="29"/>
      <c r="M376" s="30"/>
      <c r="O376" s="27"/>
      <c r="P376" s="27"/>
      <c r="Q376" s="27"/>
      <c r="R376" s="27"/>
      <c r="S376" s="27"/>
      <c r="T376" s="27"/>
      <c r="U376" s="27"/>
      <c r="V376" s="27"/>
      <c r="W376" s="27"/>
      <c r="X376" s="27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L377" s="29"/>
      <c r="M377" s="30"/>
      <c r="O377" s="27"/>
      <c r="P377" s="27"/>
      <c r="Q377" s="27"/>
      <c r="R377" s="27"/>
      <c r="S377" s="27"/>
      <c r="T377" s="27"/>
      <c r="U377" s="27"/>
      <c r="V377" s="27"/>
      <c r="W377" s="27"/>
      <c r="X377" s="27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L378" s="29"/>
      <c r="M378" s="30"/>
      <c r="O378" s="27"/>
      <c r="P378" s="27"/>
      <c r="Q378" s="27"/>
      <c r="R378" s="27"/>
      <c r="S378" s="27"/>
      <c r="T378" s="27"/>
      <c r="U378" s="27"/>
      <c r="V378" s="27"/>
      <c r="W378" s="27"/>
      <c r="X378" s="27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L379" s="29"/>
      <c r="M379" s="30"/>
      <c r="O379" s="27"/>
      <c r="P379" s="27"/>
      <c r="Q379" s="27"/>
      <c r="R379" s="27"/>
      <c r="S379" s="27"/>
      <c r="T379" s="27"/>
      <c r="U379" s="27"/>
      <c r="V379" s="27"/>
      <c r="W379" s="27"/>
      <c r="X379" s="27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L380" s="29"/>
      <c r="M380" s="30"/>
      <c r="O380" s="27"/>
      <c r="P380" s="27"/>
      <c r="Q380" s="27"/>
      <c r="R380" s="27"/>
      <c r="S380" s="27"/>
      <c r="T380" s="27"/>
      <c r="U380" s="27"/>
      <c r="V380" s="27"/>
      <c r="W380" s="27"/>
      <c r="X380" s="27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L381" s="29"/>
      <c r="M381" s="30"/>
      <c r="O381" s="27"/>
      <c r="P381" s="27"/>
      <c r="Q381" s="27"/>
      <c r="R381" s="27"/>
      <c r="S381" s="27"/>
      <c r="T381" s="27"/>
      <c r="U381" s="27"/>
      <c r="V381" s="27"/>
      <c r="W381" s="27"/>
      <c r="X381" s="27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L382" s="29"/>
      <c r="M382" s="30"/>
      <c r="O382" s="27"/>
      <c r="P382" s="27"/>
      <c r="Q382" s="27"/>
      <c r="R382" s="27"/>
      <c r="S382" s="27"/>
      <c r="T382" s="27"/>
      <c r="U382" s="27"/>
      <c r="V382" s="27"/>
      <c r="W382" s="27"/>
      <c r="X382" s="27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L383" s="29"/>
      <c r="M383" s="30"/>
      <c r="O383" s="27"/>
      <c r="P383" s="27"/>
      <c r="Q383" s="27"/>
      <c r="R383" s="27"/>
      <c r="S383" s="27"/>
      <c r="T383" s="27"/>
      <c r="U383" s="27"/>
      <c r="V383" s="27"/>
      <c r="W383" s="27"/>
      <c r="X383" s="27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L384" s="29"/>
      <c r="M384" s="30"/>
      <c r="O384" s="27"/>
      <c r="P384" s="27"/>
      <c r="Q384" s="27"/>
      <c r="R384" s="27"/>
      <c r="S384" s="27"/>
      <c r="T384" s="27"/>
      <c r="U384" s="27"/>
      <c r="V384" s="27"/>
      <c r="W384" s="27"/>
      <c r="X384" s="27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L385" s="29"/>
      <c r="M385" s="30"/>
      <c r="O385" s="27"/>
      <c r="P385" s="27"/>
      <c r="Q385" s="27"/>
      <c r="R385" s="27"/>
      <c r="S385" s="27"/>
      <c r="T385" s="27"/>
      <c r="U385" s="27"/>
      <c r="V385" s="27"/>
      <c r="W385" s="27"/>
      <c r="X385" s="27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L386" s="29"/>
      <c r="M386" s="30"/>
      <c r="O386" s="27"/>
      <c r="P386" s="27"/>
      <c r="Q386" s="27"/>
      <c r="R386" s="27"/>
      <c r="S386" s="27"/>
      <c r="T386" s="27"/>
      <c r="U386" s="27"/>
      <c r="V386" s="27"/>
      <c r="W386" s="27"/>
      <c r="X386" s="27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L387" s="29"/>
      <c r="M387" s="30"/>
      <c r="O387" s="27"/>
      <c r="P387" s="27"/>
      <c r="Q387" s="27"/>
      <c r="R387" s="27"/>
      <c r="S387" s="27"/>
      <c r="T387" s="27"/>
      <c r="U387" s="27"/>
      <c r="V387" s="27"/>
      <c r="W387" s="27"/>
      <c r="X387" s="27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L388" s="29"/>
      <c r="M388" s="30"/>
      <c r="O388" s="27"/>
      <c r="P388" s="27"/>
      <c r="Q388" s="27"/>
      <c r="R388" s="27"/>
      <c r="S388" s="27"/>
      <c r="T388" s="27"/>
      <c r="U388" s="27"/>
      <c r="V388" s="27"/>
      <c r="W388" s="27"/>
      <c r="X388" s="27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L389" s="29"/>
      <c r="M389" s="30"/>
      <c r="O389" s="27"/>
      <c r="P389" s="27"/>
      <c r="Q389" s="27"/>
      <c r="R389" s="27"/>
      <c r="S389" s="27"/>
      <c r="T389" s="27"/>
      <c r="U389" s="27"/>
      <c r="V389" s="27"/>
      <c r="W389" s="27"/>
      <c r="X389" s="27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L390" s="29"/>
      <c r="M390" s="30"/>
      <c r="O390" s="27"/>
      <c r="P390" s="27"/>
      <c r="Q390" s="27"/>
      <c r="R390" s="27"/>
      <c r="S390" s="27"/>
      <c r="T390" s="27"/>
      <c r="U390" s="27"/>
      <c r="V390" s="27"/>
      <c r="W390" s="27"/>
      <c r="X390" s="27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L391" s="29"/>
      <c r="M391" s="30"/>
      <c r="O391" s="27"/>
      <c r="P391" s="27"/>
      <c r="Q391" s="27"/>
      <c r="R391" s="27"/>
      <c r="S391" s="27"/>
      <c r="T391" s="27"/>
      <c r="U391" s="27"/>
      <c r="V391" s="27"/>
      <c r="W391" s="27"/>
      <c r="X391" s="27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L392" s="29"/>
      <c r="M392" s="30"/>
      <c r="O392" s="27"/>
      <c r="P392" s="27"/>
      <c r="Q392" s="27"/>
      <c r="R392" s="27"/>
      <c r="S392" s="27"/>
      <c r="T392" s="27"/>
      <c r="U392" s="27"/>
      <c r="V392" s="27"/>
      <c r="W392" s="27"/>
      <c r="X392" s="27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L393" s="29"/>
      <c r="M393" s="30"/>
      <c r="O393" s="27"/>
      <c r="P393" s="27"/>
      <c r="Q393" s="27"/>
      <c r="R393" s="27"/>
      <c r="S393" s="27"/>
      <c r="T393" s="27"/>
      <c r="U393" s="27"/>
      <c r="V393" s="27"/>
      <c r="W393" s="27"/>
      <c r="X393" s="27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L394" s="29"/>
      <c r="M394" s="30"/>
      <c r="O394" s="27"/>
      <c r="P394" s="27"/>
      <c r="Q394" s="27"/>
      <c r="R394" s="27"/>
      <c r="S394" s="27"/>
      <c r="T394" s="27"/>
      <c r="U394" s="27"/>
      <c r="V394" s="27"/>
      <c r="W394" s="27"/>
      <c r="X394" s="27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L395" s="29"/>
      <c r="M395" s="30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L396" s="29"/>
      <c r="M396" s="30"/>
      <c r="O396" s="27"/>
      <c r="P396" s="27"/>
      <c r="Q396" s="27"/>
      <c r="R396" s="27"/>
      <c r="S396" s="27"/>
      <c r="T396" s="27"/>
      <c r="U396" s="27"/>
      <c r="V396" s="27"/>
      <c r="W396" s="27"/>
      <c r="X396" s="27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L397" s="29"/>
      <c r="M397" s="30"/>
      <c r="O397" s="27"/>
      <c r="P397" s="27"/>
      <c r="Q397" s="27"/>
      <c r="R397" s="27"/>
      <c r="S397" s="27"/>
      <c r="T397" s="27"/>
      <c r="U397" s="27"/>
      <c r="V397" s="27"/>
      <c r="W397" s="27"/>
      <c r="X397" s="27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L398" s="29"/>
      <c r="M398" s="30"/>
      <c r="O398" s="27"/>
      <c r="P398" s="27"/>
      <c r="Q398" s="27"/>
      <c r="R398" s="27"/>
      <c r="S398" s="27"/>
      <c r="T398" s="27"/>
      <c r="U398" s="27"/>
      <c r="V398" s="27"/>
      <c r="W398" s="27"/>
      <c r="X398" s="27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L399" s="29"/>
      <c r="M399" s="30"/>
      <c r="O399" s="27"/>
      <c r="P399" s="27"/>
      <c r="Q399" s="27"/>
      <c r="R399" s="27"/>
      <c r="S399" s="27"/>
      <c r="T399" s="27"/>
      <c r="U399" s="27"/>
      <c r="V399" s="27"/>
      <c r="W399" s="27"/>
      <c r="X399" s="27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L400" s="29"/>
      <c r="M400" s="30"/>
      <c r="O400" s="27"/>
      <c r="P400" s="27"/>
      <c r="Q400" s="27"/>
      <c r="R400" s="27"/>
      <c r="S400" s="27"/>
      <c r="T400" s="27"/>
      <c r="U400" s="27"/>
      <c r="V400" s="27"/>
      <c r="W400" s="27"/>
      <c r="X400" s="27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L401" s="29"/>
      <c r="M401" s="30"/>
      <c r="O401" s="27"/>
      <c r="P401" s="27"/>
      <c r="Q401" s="27"/>
      <c r="R401" s="27"/>
      <c r="S401" s="27"/>
      <c r="T401" s="27"/>
      <c r="U401" s="27"/>
      <c r="V401" s="27"/>
      <c r="W401" s="27"/>
      <c r="X401" s="27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L402" s="29"/>
      <c r="M402" s="30"/>
      <c r="O402" s="27"/>
      <c r="P402" s="27"/>
      <c r="Q402" s="27"/>
      <c r="R402" s="27"/>
      <c r="S402" s="27"/>
      <c r="T402" s="27"/>
      <c r="U402" s="27"/>
      <c r="V402" s="27"/>
      <c r="W402" s="27"/>
      <c r="X402" s="27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L403" s="29"/>
      <c r="M403" s="30"/>
      <c r="O403" s="27"/>
      <c r="P403" s="27"/>
      <c r="Q403" s="27"/>
      <c r="R403" s="27"/>
      <c r="S403" s="27"/>
      <c r="T403" s="27"/>
      <c r="U403" s="27"/>
      <c r="V403" s="27"/>
      <c r="W403" s="27"/>
      <c r="X403" s="27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L404" s="29"/>
      <c r="M404" s="30"/>
      <c r="O404" s="27"/>
      <c r="P404" s="27"/>
      <c r="Q404" s="27"/>
      <c r="R404" s="27"/>
      <c r="S404" s="27"/>
      <c r="T404" s="27"/>
      <c r="U404" s="27"/>
      <c r="V404" s="27"/>
      <c r="W404" s="27"/>
      <c r="X404" s="27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L405" s="29"/>
      <c r="M405" s="30"/>
      <c r="O405" s="27"/>
      <c r="P405" s="27"/>
      <c r="Q405" s="27"/>
      <c r="R405" s="27"/>
      <c r="S405" s="27"/>
      <c r="T405" s="27"/>
      <c r="U405" s="27"/>
      <c r="V405" s="27"/>
      <c r="W405" s="27"/>
      <c r="X405" s="27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L406" s="29"/>
      <c r="M406" s="30"/>
      <c r="O406" s="27"/>
      <c r="P406" s="27"/>
      <c r="Q406" s="27"/>
      <c r="R406" s="27"/>
      <c r="S406" s="27"/>
      <c r="T406" s="27"/>
      <c r="U406" s="27"/>
      <c r="V406" s="27"/>
      <c r="W406" s="27"/>
      <c r="X406" s="27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L407" s="29"/>
      <c r="M407" s="30"/>
      <c r="O407" s="27"/>
      <c r="P407" s="27"/>
      <c r="Q407" s="27"/>
      <c r="R407" s="27"/>
      <c r="S407" s="27"/>
      <c r="T407" s="27"/>
      <c r="U407" s="27"/>
      <c r="V407" s="27"/>
      <c r="W407" s="27"/>
      <c r="X407" s="27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L408" s="29"/>
      <c r="M408" s="30"/>
      <c r="O408" s="27"/>
      <c r="P408" s="27"/>
      <c r="Q408" s="27"/>
      <c r="R408" s="27"/>
      <c r="S408" s="27"/>
      <c r="T408" s="27"/>
      <c r="U408" s="27"/>
      <c r="V408" s="27"/>
      <c r="W408" s="27"/>
      <c r="X408" s="27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L409" s="29"/>
      <c r="M409" s="30"/>
      <c r="O409" s="27"/>
      <c r="P409" s="27"/>
      <c r="Q409" s="27"/>
      <c r="R409" s="27"/>
      <c r="S409" s="27"/>
      <c r="T409" s="27"/>
      <c r="U409" s="27"/>
      <c r="V409" s="27"/>
      <c r="W409" s="27"/>
      <c r="X409" s="27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L410" s="29"/>
      <c r="M410" s="30"/>
      <c r="O410" s="27"/>
      <c r="P410" s="27"/>
      <c r="Q410" s="27"/>
      <c r="R410" s="27"/>
      <c r="S410" s="27"/>
      <c r="T410" s="27"/>
      <c r="U410" s="27"/>
      <c r="V410" s="27"/>
      <c r="W410" s="27"/>
      <c r="X410" s="27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L411" s="29"/>
      <c r="M411" s="30"/>
      <c r="O411" s="27"/>
      <c r="P411" s="27"/>
      <c r="Q411" s="27"/>
      <c r="R411" s="27"/>
      <c r="S411" s="27"/>
      <c r="T411" s="27"/>
      <c r="U411" s="27"/>
      <c r="V411" s="27"/>
      <c r="W411" s="27"/>
      <c r="X411" s="27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L412" s="29"/>
      <c r="M412" s="30"/>
      <c r="O412" s="27"/>
      <c r="P412" s="27"/>
      <c r="Q412" s="27"/>
      <c r="R412" s="27"/>
      <c r="S412" s="27"/>
      <c r="T412" s="27"/>
      <c r="U412" s="27"/>
      <c r="V412" s="27"/>
      <c r="W412" s="27"/>
      <c r="X412" s="27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L413" s="29"/>
      <c r="M413" s="30"/>
      <c r="O413" s="27"/>
      <c r="P413" s="27"/>
      <c r="Q413" s="27"/>
      <c r="R413" s="27"/>
      <c r="S413" s="27"/>
      <c r="T413" s="27"/>
      <c r="U413" s="27"/>
      <c r="V413" s="27"/>
      <c r="W413" s="27"/>
      <c r="X413" s="27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L414" s="29"/>
      <c r="M414" s="30"/>
      <c r="O414" s="27"/>
      <c r="P414" s="27"/>
      <c r="Q414" s="27"/>
      <c r="R414" s="27"/>
      <c r="S414" s="27"/>
      <c r="T414" s="27"/>
      <c r="U414" s="27"/>
      <c r="V414" s="27"/>
      <c r="W414" s="27"/>
      <c r="X414" s="27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L415" s="29"/>
      <c r="M415" s="30"/>
      <c r="O415" s="27"/>
      <c r="P415" s="27"/>
      <c r="Q415" s="27"/>
      <c r="R415" s="27"/>
      <c r="S415" s="27"/>
      <c r="T415" s="27"/>
      <c r="U415" s="27"/>
      <c r="V415" s="27"/>
      <c r="W415" s="27"/>
      <c r="X415" s="27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L416" s="29"/>
      <c r="M416" s="30"/>
      <c r="O416" s="27"/>
      <c r="P416" s="27"/>
      <c r="Q416" s="27"/>
      <c r="R416" s="27"/>
      <c r="S416" s="27"/>
      <c r="T416" s="27"/>
      <c r="U416" s="27"/>
      <c r="V416" s="27"/>
      <c r="W416" s="27"/>
      <c r="X416" s="27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L417" s="29"/>
      <c r="M417" s="30"/>
      <c r="O417" s="27"/>
      <c r="P417" s="27"/>
      <c r="Q417" s="27"/>
      <c r="R417" s="27"/>
      <c r="S417" s="27"/>
      <c r="T417" s="27"/>
      <c r="U417" s="27"/>
      <c r="V417" s="27"/>
      <c r="W417" s="27"/>
      <c r="X417" s="27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L418" s="29"/>
      <c r="M418" s="30"/>
      <c r="O418" s="27"/>
      <c r="P418" s="27"/>
      <c r="Q418" s="27"/>
      <c r="R418" s="27"/>
      <c r="S418" s="27"/>
      <c r="T418" s="27"/>
      <c r="U418" s="27"/>
      <c r="V418" s="27"/>
      <c r="W418" s="27"/>
      <c r="X418" s="27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L419" s="29"/>
      <c r="M419" s="30"/>
      <c r="O419" s="27"/>
      <c r="P419" s="27"/>
      <c r="Q419" s="27"/>
      <c r="R419" s="27"/>
      <c r="S419" s="27"/>
      <c r="T419" s="27"/>
      <c r="U419" s="27"/>
      <c r="V419" s="27"/>
      <c r="W419" s="27"/>
      <c r="X419" s="27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L420" s="29"/>
      <c r="M420" s="30"/>
      <c r="O420" s="27"/>
      <c r="P420" s="27"/>
      <c r="Q420" s="27"/>
      <c r="R420" s="27"/>
      <c r="S420" s="27"/>
      <c r="T420" s="27"/>
      <c r="U420" s="27"/>
      <c r="V420" s="27"/>
      <c r="W420" s="27"/>
      <c r="X420" s="27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L421" s="29"/>
      <c r="M421" s="30"/>
      <c r="O421" s="27"/>
      <c r="P421" s="27"/>
      <c r="Q421" s="27"/>
      <c r="R421" s="27"/>
      <c r="S421" s="27"/>
      <c r="T421" s="27"/>
      <c r="U421" s="27"/>
      <c r="V421" s="27"/>
      <c r="W421" s="27"/>
      <c r="X421" s="27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L422" s="29"/>
      <c r="M422" s="30"/>
      <c r="O422" s="27"/>
      <c r="P422" s="27"/>
      <c r="Q422" s="27"/>
      <c r="R422" s="27"/>
      <c r="S422" s="27"/>
      <c r="T422" s="27"/>
      <c r="U422" s="27"/>
      <c r="V422" s="27"/>
      <c r="W422" s="27"/>
      <c r="X422" s="27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L423" s="29"/>
      <c r="M423" s="30"/>
      <c r="O423" s="27"/>
      <c r="P423" s="27"/>
      <c r="Q423" s="27"/>
      <c r="R423" s="27"/>
      <c r="S423" s="27"/>
      <c r="T423" s="27"/>
      <c r="U423" s="27"/>
      <c r="V423" s="27"/>
      <c r="W423" s="27"/>
      <c r="X423" s="27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L424" s="29"/>
      <c r="M424" s="30"/>
      <c r="O424" s="27"/>
      <c r="P424" s="27"/>
      <c r="Q424" s="27"/>
      <c r="R424" s="27"/>
      <c r="S424" s="27"/>
      <c r="T424" s="27"/>
      <c r="U424" s="27"/>
      <c r="V424" s="27"/>
      <c r="W424" s="27"/>
      <c r="X424" s="27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L425" s="29"/>
      <c r="M425" s="30"/>
      <c r="O425" s="27"/>
      <c r="P425" s="27"/>
      <c r="Q425" s="27"/>
      <c r="R425" s="27"/>
      <c r="S425" s="27"/>
      <c r="T425" s="27"/>
      <c r="U425" s="27"/>
      <c r="V425" s="27"/>
      <c r="W425" s="27"/>
      <c r="X425" s="27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L426" s="29"/>
      <c r="M426" s="30"/>
      <c r="O426" s="27"/>
      <c r="P426" s="27"/>
      <c r="Q426" s="27"/>
      <c r="R426" s="27"/>
      <c r="S426" s="27"/>
      <c r="T426" s="27"/>
      <c r="U426" s="27"/>
      <c r="V426" s="27"/>
      <c r="W426" s="27"/>
      <c r="X426" s="27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L427" s="29"/>
      <c r="M427" s="30"/>
      <c r="O427" s="27"/>
      <c r="P427" s="27"/>
      <c r="Q427" s="27"/>
      <c r="R427" s="27"/>
      <c r="S427" s="27"/>
      <c r="T427" s="27"/>
      <c r="U427" s="27"/>
      <c r="V427" s="27"/>
      <c r="W427" s="27"/>
      <c r="X427" s="27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L428" s="29"/>
      <c r="M428" s="30"/>
      <c r="O428" s="27"/>
      <c r="P428" s="27"/>
      <c r="Q428" s="27"/>
      <c r="R428" s="27"/>
      <c r="S428" s="27"/>
      <c r="T428" s="27"/>
      <c r="U428" s="27"/>
      <c r="V428" s="27"/>
      <c r="W428" s="27"/>
      <c r="X428" s="27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L429" s="29"/>
      <c r="M429" s="30"/>
      <c r="O429" s="27"/>
      <c r="P429" s="27"/>
      <c r="Q429" s="27"/>
      <c r="R429" s="27"/>
      <c r="S429" s="27"/>
      <c r="T429" s="27"/>
      <c r="U429" s="27"/>
      <c r="V429" s="27"/>
      <c r="W429" s="27"/>
      <c r="X429" s="27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L430" s="29"/>
      <c r="M430" s="30"/>
      <c r="O430" s="27"/>
      <c r="P430" s="27"/>
      <c r="Q430" s="27"/>
      <c r="R430" s="27"/>
      <c r="S430" s="27"/>
      <c r="T430" s="27"/>
      <c r="U430" s="27"/>
      <c r="V430" s="27"/>
      <c r="W430" s="27"/>
      <c r="X430" s="27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L431" s="29"/>
      <c r="M431" s="30"/>
      <c r="O431" s="27"/>
      <c r="P431" s="27"/>
      <c r="Q431" s="27"/>
      <c r="R431" s="27"/>
      <c r="S431" s="27"/>
      <c r="T431" s="27"/>
      <c r="U431" s="27"/>
      <c r="V431" s="27"/>
      <c r="W431" s="27"/>
      <c r="X431" s="27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L432" s="29"/>
      <c r="M432" s="30"/>
      <c r="O432" s="27"/>
      <c r="P432" s="27"/>
      <c r="Q432" s="27"/>
      <c r="R432" s="27"/>
      <c r="S432" s="27"/>
      <c r="T432" s="27"/>
      <c r="U432" s="27"/>
      <c r="V432" s="27"/>
      <c r="W432" s="27"/>
      <c r="X432" s="27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L433" s="29"/>
      <c r="M433" s="30"/>
      <c r="O433" s="27"/>
      <c r="P433" s="27"/>
      <c r="Q433" s="27"/>
      <c r="R433" s="27"/>
      <c r="S433" s="27"/>
      <c r="T433" s="27"/>
      <c r="U433" s="27"/>
      <c r="V433" s="27"/>
      <c r="W433" s="27"/>
      <c r="X433" s="27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L434" s="29"/>
      <c r="M434" s="30"/>
      <c r="O434" s="27"/>
      <c r="P434" s="27"/>
      <c r="Q434" s="27"/>
      <c r="R434" s="27"/>
      <c r="S434" s="27"/>
      <c r="T434" s="27"/>
      <c r="U434" s="27"/>
      <c r="V434" s="27"/>
      <c r="W434" s="27"/>
      <c r="X434" s="27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L435" s="29"/>
      <c r="M435" s="30"/>
      <c r="O435" s="27"/>
      <c r="P435" s="27"/>
      <c r="Q435" s="27"/>
      <c r="R435" s="27"/>
      <c r="S435" s="27"/>
      <c r="T435" s="27"/>
      <c r="U435" s="27"/>
      <c r="V435" s="27"/>
      <c r="W435" s="27"/>
      <c r="X435" s="27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L436" s="29"/>
      <c r="M436" s="30"/>
      <c r="O436" s="27"/>
      <c r="P436" s="27"/>
      <c r="Q436" s="27"/>
      <c r="R436" s="27"/>
      <c r="S436" s="27"/>
      <c r="T436" s="27"/>
      <c r="U436" s="27"/>
      <c r="V436" s="27"/>
      <c r="W436" s="27"/>
      <c r="X436" s="27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L437" s="29"/>
      <c r="M437" s="30"/>
      <c r="O437" s="27"/>
      <c r="P437" s="27"/>
      <c r="Q437" s="27"/>
      <c r="R437" s="27"/>
      <c r="S437" s="27"/>
      <c r="T437" s="27"/>
      <c r="U437" s="27"/>
      <c r="V437" s="27"/>
      <c r="W437" s="27"/>
      <c r="X437" s="27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L438" s="29"/>
      <c r="M438" s="30"/>
      <c r="O438" s="27"/>
      <c r="P438" s="27"/>
      <c r="Q438" s="27"/>
      <c r="R438" s="27"/>
      <c r="S438" s="27"/>
      <c r="T438" s="27"/>
      <c r="U438" s="27"/>
      <c r="V438" s="27"/>
      <c r="W438" s="27"/>
      <c r="X438" s="27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L439" s="29"/>
      <c r="M439" s="30"/>
      <c r="O439" s="27"/>
      <c r="P439" s="27"/>
      <c r="Q439" s="27"/>
      <c r="R439" s="27"/>
      <c r="S439" s="27"/>
      <c r="T439" s="27"/>
      <c r="U439" s="27"/>
      <c r="V439" s="27"/>
      <c r="W439" s="27"/>
      <c r="X439" s="27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L440" s="29"/>
      <c r="M440" s="30"/>
      <c r="O440" s="27"/>
      <c r="P440" s="27"/>
      <c r="Q440" s="27"/>
      <c r="R440" s="27"/>
      <c r="S440" s="27"/>
      <c r="T440" s="27"/>
      <c r="U440" s="27"/>
      <c r="V440" s="27"/>
      <c r="W440" s="27"/>
      <c r="X440" s="27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L441" s="29"/>
      <c r="M441" s="30"/>
      <c r="O441" s="27"/>
      <c r="P441" s="27"/>
      <c r="Q441" s="27"/>
      <c r="R441" s="27"/>
      <c r="S441" s="27"/>
      <c r="T441" s="27"/>
      <c r="U441" s="27"/>
      <c r="V441" s="27"/>
      <c r="W441" s="27"/>
      <c r="X441" s="27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L442" s="29"/>
      <c r="M442" s="30"/>
      <c r="O442" s="27"/>
      <c r="P442" s="27"/>
      <c r="Q442" s="27"/>
      <c r="R442" s="27"/>
      <c r="S442" s="27"/>
      <c r="T442" s="27"/>
      <c r="U442" s="27"/>
      <c r="V442" s="27"/>
      <c r="W442" s="27"/>
      <c r="X442" s="27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L443" s="29"/>
      <c r="M443" s="30"/>
      <c r="O443" s="27"/>
      <c r="P443" s="27"/>
      <c r="Q443" s="27"/>
      <c r="R443" s="27"/>
      <c r="S443" s="27"/>
      <c r="T443" s="27"/>
      <c r="U443" s="27"/>
      <c r="V443" s="27"/>
      <c r="W443" s="27"/>
      <c r="X443" s="27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L444" s="29"/>
      <c r="M444" s="30"/>
      <c r="O444" s="27"/>
      <c r="P444" s="27"/>
      <c r="Q444" s="27"/>
      <c r="R444" s="27"/>
      <c r="S444" s="27"/>
      <c r="T444" s="27"/>
      <c r="U444" s="27"/>
      <c r="V444" s="27"/>
      <c r="W444" s="27"/>
      <c r="X444" s="27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L445" s="29"/>
      <c r="M445" s="30"/>
      <c r="O445" s="27"/>
      <c r="P445" s="27"/>
      <c r="Q445" s="27"/>
      <c r="R445" s="27"/>
      <c r="S445" s="27"/>
      <c r="T445" s="27"/>
      <c r="U445" s="27"/>
      <c r="V445" s="27"/>
      <c r="W445" s="27"/>
      <c r="X445" s="27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L446" s="29"/>
      <c r="M446" s="30"/>
      <c r="O446" s="27"/>
      <c r="P446" s="27"/>
      <c r="Q446" s="27"/>
      <c r="R446" s="27"/>
      <c r="S446" s="27"/>
      <c r="T446" s="27"/>
      <c r="U446" s="27"/>
      <c r="V446" s="27"/>
      <c r="W446" s="27"/>
      <c r="X446" s="27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L447" s="29"/>
      <c r="M447" s="30"/>
      <c r="O447" s="27"/>
      <c r="P447" s="27"/>
      <c r="Q447" s="27"/>
      <c r="R447" s="27"/>
      <c r="S447" s="27"/>
      <c r="T447" s="27"/>
      <c r="U447" s="27"/>
      <c r="V447" s="27"/>
      <c r="W447" s="27"/>
      <c r="X447" s="27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L448" s="29"/>
      <c r="M448" s="30"/>
      <c r="O448" s="27"/>
      <c r="P448" s="27"/>
      <c r="Q448" s="27"/>
      <c r="R448" s="27"/>
      <c r="S448" s="27"/>
      <c r="T448" s="27"/>
      <c r="U448" s="27"/>
      <c r="V448" s="27"/>
      <c r="W448" s="27"/>
      <c r="X448" s="27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L449" s="29"/>
      <c r="M449" s="30"/>
      <c r="O449" s="27"/>
      <c r="P449" s="27"/>
      <c r="Q449" s="27"/>
      <c r="R449" s="27"/>
      <c r="S449" s="27"/>
      <c r="T449" s="27"/>
      <c r="U449" s="27"/>
      <c r="V449" s="27"/>
      <c r="W449" s="27"/>
      <c r="X449" s="27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L450" s="29"/>
      <c r="M450" s="30"/>
      <c r="O450" s="27"/>
      <c r="P450" s="27"/>
      <c r="Q450" s="27"/>
      <c r="R450" s="27"/>
      <c r="S450" s="27"/>
      <c r="T450" s="27"/>
      <c r="U450" s="27"/>
      <c r="V450" s="27"/>
      <c r="W450" s="27"/>
      <c r="X450" s="27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L451" s="29"/>
      <c r="M451" s="30"/>
      <c r="O451" s="27"/>
      <c r="P451" s="27"/>
      <c r="Q451" s="27"/>
      <c r="R451" s="27"/>
      <c r="S451" s="27"/>
      <c r="T451" s="27"/>
      <c r="U451" s="27"/>
      <c r="V451" s="27"/>
      <c r="W451" s="27"/>
      <c r="X451" s="27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L452" s="29"/>
      <c r="M452" s="30"/>
      <c r="O452" s="27"/>
      <c r="P452" s="27"/>
      <c r="Q452" s="27"/>
      <c r="R452" s="27"/>
      <c r="S452" s="27"/>
      <c r="T452" s="27"/>
      <c r="U452" s="27"/>
      <c r="V452" s="27"/>
      <c r="W452" s="27"/>
      <c r="X452" s="27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L453" s="29"/>
      <c r="M453" s="30"/>
      <c r="O453" s="27"/>
      <c r="P453" s="27"/>
      <c r="Q453" s="27"/>
      <c r="R453" s="27"/>
      <c r="S453" s="27"/>
      <c r="T453" s="27"/>
      <c r="U453" s="27"/>
      <c r="V453" s="27"/>
      <c r="W453" s="27"/>
      <c r="X453" s="27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L454" s="29"/>
      <c r="M454" s="30"/>
      <c r="O454" s="27"/>
      <c r="P454" s="27"/>
      <c r="Q454" s="27"/>
      <c r="R454" s="27"/>
      <c r="S454" s="27"/>
      <c r="T454" s="27"/>
      <c r="U454" s="27"/>
      <c r="V454" s="27"/>
      <c r="W454" s="27"/>
      <c r="X454" s="27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L455" s="29"/>
      <c r="M455" s="30"/>
      <c r="O455" s="27"/>
      <c r="P455" s="27"/>
      <c r="Q455" s="27"/>
      <c r="R455" s="27"/>
      <c r="S455" s="27"/>
      <c r="T455" s="27"/>
      <c r="U455" s="27"/>
      <c r="V455" s="27"/>
      <c r="W455" s="27"/>
      <c r="X455" s="27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L456" s="29"/>
      <c r="M456" s="30"/>
      <c r="O456" s="27"/>
      <c r="P456" s="27"/>
      <c r="Q456" s="27"/>
      <c r="R456" s="27"/>
      <c r="S456" s="27"/>
      <c r="T456" s="27"/>
      <c r="U456" s="27"/>
      <c r="V456" s="27"/>
      <c r="W456" s="27"/>
      <c r="X456" s="27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L457" s="29"/>
      <c r="M457" s="30"/>
      <c r="O457" s="27"/>
      <c r="P457" s="27"/>
      <c r="Q457" s="27"/>
      <c r="R457" s="27"/>
      <c r="S457" s="27"/>
      <c r="T457" s="27"/>
      <c r="U457" s="27"/>
      <c r="V457" s="27"/>
      <c r="W457" s="27"/>
      <c r="X457" s="27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L458" s="29"/>
      <c r="M458" s="30"/>
      <c r="O458" s="27"/>
      <c r="P458" s="27"/>
      <c r="Q458" s="27"/>
      <c r="R458" s="27"/>
      <c r="S458" s="27"/>
      <c r="T458" s="27"/>
      <c r="U458" s="27"/>
      <c r="V458" s="27"/>
      <c r="W458" s="27"/>
      <c r="X458" s="27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L459" s="29"/>
      <c r="M459" s="30"/>
      <c r="O459" s="27"/>
      <c r="P459" s="27"/>
      <c r="Q459" s="27"/>
      <c r="R459" s="27"/>
      <c r="S459" s="27"/>
      <c r="T459" s="27"/>
      <c r="U459" s="27"/>
      <c r="V459" s="27"/>
      <c r="W459" s="27"/>
      <c r="X459" s="27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L460" s="29"/>
      <c r="M460" s="30"/>
      <c r="O460" s="27"/>
      <c r="P460" s="27"/>
      <c r="Q460" s="27"/>
      <c r="R460" s="27"/>
      <c r="S460" s="27"/>
      <c r="T460" s="27"/>
      <c r="U460" s="27"/>
      <c r="V460" s="27"/>
      <c r="W460" s="27"/>
      <c r="X460" s="27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L461" s="29"/>
      <c r="M461" s="30"/>
      <c r="O461" s="27"/>
      <c r="P461" s="27"/>
      <c r="Q461" s="27"/>
      <c r="R461" s="27"/>
      <c r="S461" s="27"/>
      <c r="T461" s="27"/>
      <c r="U461" s="27"/>
      <c r="V461" s="27"/>
      <c r="W461" s="27"/>
      <c r="X461" s="27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L462" s="29"/>
      <c r="M462" s="30"/>
      <c r="O462" s="27"/>
      <c r="P462" s="27"/>
      <c r="Q462" s="27"/>
      <c r="R462" s="27"/>
      <c r="S462" s="27"/>
      <c r="T462" s="27"/>
      <c r="U462" s="27"/>
      <c r="V462" s="27"/>
      <c r="W462" s="27"/>
      <c r="X462" s="27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L463" s="29"/>
      <c r="M463" s="30"/>
      <c r="O463" s="27"/>
      <c r="P463" s="27"/>
      <c r="Q463" s="27"/>
      <c r="R463" s="27"/>
      <c r="S463" s="27"/>
      <c r="T463" s="27"/>
      <c r="U463" s="27"/>
      <c r="V463" s="27"/>
      <c r="W463" s="27"/>
      <c r="X463" s="27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L464" s="29"/>
      <c r="M464" s="30"/>
      <c r="O464" s="27"/>
      <c r="P464" s="27"/>
      <c r="Q464" s="27"/>
      <c r="R464" s="27"/>
      <c r="S464" s="27"/>
      <c r="T464" s="27"/>
      <c r="U464" s="27"/>
      <c r="V464" s="27"/>
      <c r="W464" s="27"/>
      <c r="X464" s="27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L465" s="29"/>
      <c r="M465" s="30"/>
      <c r="O465" s="27"/>
      <c r="P465" s="27"/>
      <c r="Q465" s="27"/>
      <c r="R465" s="27"/>
      <c r="S465" s="27"/>
      <c r="T465" s="27"/>
      <c r="U465" s="27"/>
      <c r="V465" s="27"/>
      <c r="W465" s="27"/>
      <c r="X465" s="27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L466" s="29"/>
      <c r="M466" s="30"/>
      <c r="O466" s="27"/>
      <c r="P466" s="27"/>
      <c r="Q466" s="27"/>
      <c r="R466" s="27"/>
      <c r="S466" s="27"/>
      <c r="T466" s="27"/>
      <c r="U466" s="27"/>
      <c r="V466" s="27"/>
      <c r="W466" s="27"/>
      <c r="X466" s="27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L467" s="29"/>
      <c r="M467" s="30"/>
      <c r="O467" s="27"/>
      <c r="P467" s="27"/>
      <c r="Q467" s="27"/>
      <c r="R467" s="27"/>
      <c r="S467" s="27"/>
      <c r="T467" s="27"/>
      <c r="U467" s="27"/>
      <c r="V467" s="27"/>
      <c r="W467" s="27"/>
      <c r="X467" s="27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L468" s="29"/>
      <c r="M468" s="30"/>
      <c r="O468" s="27"/>
      <c r="P468" s="27"/>
      <c r="Q468" s="27"/>
      <c r="R468" s="27"/>
      <c r="S468" s="27"/>
      <c r="T468" s="27"/>
      <c r="U468" s="27"/>
      <c r="V468" s="27"/>
      <c r="W468" s="27"/>
      <c r="X468" s="27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L469" s="29"/>
      <c r="M469" s="30"/>
      <c r="O469" s="27"/>
      <c r="P469" s="27"/>
      <c r="Q469" s="27"/>
      <c r="R469" s="27"/>
      <c r="S469" s="27"/>
      <c r="T469" s="27"/>
      <c r="U469" s="27"/>
      <c r="V469" s="27"/>
      <c r="W469" s="27"/>
      <c r="X469" s="27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L470" s="29"/>
      <c r="M470" s="30"/>
      <c r="O470" s="27"/>
      <c r="P470" s="27"/>
      <c r="Q470" s="27"/>
      <c r="R470" s="27"/>
      <c r="S470" s="27"/>
      <c r="T470" s="27"/>
      <c r="U470" s="27"/>
      <c r="V470" s="27"/>
      <c r="W470" s="27"/>
      <c r="X470" s="27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L471" s="29"/>
      <c r="M471" s="30"/>
      <c r="O471" s="27"/>
      <c r="P471" s="27"/>
      <c r="Q471" s="27"/>
      <c r="R471" s="27"/>
      <c r="S471" s="27"/>
      <c r="T471" s="27"/>
      <c r="U471" s="27"/>
      <c r="V471" s="27"/>
      <c r="W471" s="27"/>
      <c r="X471" s="27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L472" s="29"/>
      <c r="M472" s="30"/>
      <c r="O472" s="27"/>
      <c r="P472" s="27"/>
      <c r="Q472" s="27"/>
      <c r="R472" s="27"/>
      <c r="S472" s="27"/>
      <c r="T472" s="27"/>
      <c r="U472" s="27"/>
      <c r="V472" s="27"/>
      <c r="W472" s="27"/>
      <c r="X472" s="27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L473" s="29"/>
      <c r="M473" s="30"/>
      <c r="O473" s="27"/>
      <c r="P473" s="27"/>
      <c r="Q473" s="27"/>
      <c r="R473" s="27"/>
      <c r="S473" s="27"/>
      <c r="T473" s="27"/>
      <c r="U473" s="27"/>
      <c r="V473" s="27"/>
      <c r="W473" s="27"/>
      <c r="X473" s="27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L474" s="29"/>
      <c r="M474" s="30"/>
      <c r="O474" s="27"/>
      <c r="P474" s="27"/>
      <c r="Q474" s="27"/>
      <c r="R474" s="27"/>
      <c r="S474" s="27"/>
      <c r="T474" s="27"/>
      <c r="U474" s="27"/>
      <c r="V474" s="27"/>
      <c r="W474" s="27"/>
      <c r="X474" s="27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L475" s="29"/>
      <c r="M475" s="30"/>
      <c r="O475" s="27"/>
      <c r="P475" s="27"/>
      <c r="Q475" s="27"/>
      <c r="R475" s="27"/>
      <c r="S475" s="27"/>
      <c r="T475" s="27"/>
      <c r="U475" s="27"/>
      <c r="V475" s="27"/>
      <c r="W475" s="27"/>
      <c r="X475" s="27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L476" s="29"/>
      <c r="M476" s="30"/>
      <c r="O476" s="27"/>
      <c r="P476" s="27"/>
      <c r="Q476" s="27"/>
      <c r="R476" s="27"/>
      <c r="S476" s="27"/>
      <c r="T476" s="27"/>
      <c r="U476" s="27"/>
      <c r="V476" s="27"/>
      <c r="W476" s="27"/>
      <c r="X476" s="27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L477" s="29"/>
      <c r="M477" s="30"/>
      <c r="O477" s="27"/>
      <c r="P477" s="27"/>
      <c r="Q477" s="27"/>
      <c r="R477" s="27"/>
      <c r="S477" s="27"/>
      <c r="T477" s="27"/>
      <c r="U477" s="27"/>
      <c r="V477" s="27"/>
      <c r="W477" s="27"/>
      <c r="X477" s="27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L478" s="29"/>
      <c r="M478" s="30"/>
      <c r="O478" s="27"/>
      <c r="P478" s="27"/>
      <c r="Q478" s="27"/>
      <c r="R478" s="27"/>
      <c r="S478" s="27"/>
      <c r="T478" s="27"/>
      <c r="U478" s="27"/>
      <c r="V478" s="27"/>
      <c r="W478" s="27"/>
      <c r="X478" s="27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L479" s="29"/>
      <c r="M479" s="30"/>
      <c r="O479" s="27"/>
      <c r="P479" s="27"/>
      <c r="Q479" s="27"/>
      <c r="R479" s="27"/>
      <c r="S479" s="27"/>
      <c r="T479" s="27"/>
      <c r="U479" s="27"/>
      <c r="V479" s="27"/>
      <c r="W479" s="27"/>
      <c r="X479" s="27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L480" s="29"/>
      <c r="M480" s="30"/>
      <c r="O480" s="27"/>
      <c r="P480" s="27"/>
      <c r="Q480" s="27"/>
      <c r="R480" s="27"/>
      <c r="S480" s="27"/>
      <c r="T480" s="27"/>
      <c r="U480" s="27"/>
      <c r="V480" s="27"/>
      <c r="W480" s="27"/>
      <c r="X480" s="27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L481" s="29"/>
      <c r="M481" s="30"/>
      <c r="O481" s="27"/>
      <c r="P481" s="27"/>
      <c r="Q481" s="27"/>
      <c r="R481" s="27"/>
      <c r="S481" s="27"/>
      <c r="T481" s="27"/>
      <c r="U481" s="27"/>
      <c r="V481" s="27"/>
      <c r="W481" s="27"/>
      <c r="X481" s="27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L482" s="29"/>
      <c r="M482" s="30"/>
      <c r="O482" s="27"/>
      <c r="P482" s="27"/>
      <c r="Q482" s="27"/>
      <c r="R482" s="27"/>
      <c r="S482" s="27"/>
      <c r="T482" s="27"/>
      <c r="U482" s="27"/>
      <c r="V482" s="27"/>
      <c r="W482" s="27"/>
      <c r="X482" s="27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L483" s="29"/>
      <c r="M483" s="30"/>
      <c r="O483" s="27"/>
      <c r="P483" s="27"/>
      <c r="Q483" s="27"/>
      <c r="R483" s="27"/>
      <c r="S483" s="27"/>
      <c r="T483" s="27"/>
      <c r="U483" s="27"/>
      <c r="V483" s="27"/>
      <c r="W483" s="27"/>
      <c r="X483" s="27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L484" s="29"/>
      <c r="M484" s="30"/>
      <c r="O484" s="27"/>
      <c r="P484" s="27"/>
      <c r="Q484" s="27"/>
      <c r="R484" s="27"/>
      <c r="S484" s="27"/>
      <c r="T484" s="27"/>
      <c r="U484" s="27"/>
      <c r="V484" s="27"/>
      <c r="W484" s="27"/>
      <c r="X484" s="27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L485" s="29"/>
      <c r="M485" s="30"/>
      <c r="O485" s="27"/>
      <c r="P485" s="27"/>
      <c r="Q485" s="27"/>
      <c r="R485" s="27"/>
      <c r="S485" s="27"/>
      <c r="T485" s="27"/>
      <c r="U485" s="27"/>
      <c r="V485" s="27"/>
      <c r="W485" s="27"/>
      <c r="X485" s="27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L486" s="29"/>
      <c r="M486" s="30"/>
      <c r="O486" s="27"/>
      <c r="P486" s="27"/>
      <c r="Q486" s="27"/>
      <c r="R486" s="27"/>
      <c r="S486" s="27"/>
      <c r="T486" s="27"/>
      <c r="U486" s="27"/>
      <c r="V486" s="27"/>
      <c r="W486" s="27"/>
      <c r="X486" s="27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L487" s="29"/>
      <c r="M487" s="30"/>
      <c r="O487" s="27"/>
      <c r="P487" s="27"/>
      <c r="Q487" s="27"/>
      <c r="R487" s="27"/>
      <c r="S487" s="27"/>
      <c r="T487" s="27"/>
      <c r="U487" s="27"/>
      <c r="V487" s="27"/>
      <c r="W487" s="27"/>
      <c r="X487" s="27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L488" s="29"/>
      <c r="M488" s="30"/>
      <c r="O488" s="27"/>
      <c r="P488" s="27"/>
      <c r="Q488" s="27"/>
      <c r="R488" s="27"/>
      <c r="S488" s="27"/>
      <c r="T488" s="27"/>
      <c r="U488" s="27"/>
      <c r="V488" s="27"/>
      <c r="W488" s="27"/>
      <c r="X488" s="27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L489" s="29"/>
      <c r="M489" s="30"/>
      <c r="O489" s="27"/>
      <c r="P489" s="27"/>
      <c r="Q489" s="27"/>
      <c r="R489" s="27"/>
      <c r="S489" s="27"/>
      <c r="T489" s="27"/>
      <c r="U489" s="27"/>
      <c r="V489" s="27"/>
      <c r="W489" s="27"/>
      <c r="X489" s="27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L490" s="29"/>
      <c r="M490" s="30"/>
      <c r="O490" s="27"/>
      <c r="P490" s="27"/>
      <c r="Q490" s="27"/>
      <c r="R490" s="27"/>
      <c r="S490" s="27"/>
      <c r="T490" s="27"/>
      <c r="U490" s="27"/>
      <c r="V490" s="27"/>
      <c r="W490" s="27"/>
      <c r="X490" s="27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L491" s="29"/>
      <c r="M491" s="30"/>
      <c r="O491" s="27"/>
      <c r="P491" s="27"/>
      <c r="Q491" s="27"/>
      <c r="R491" s="27"/>
      <c r="S491" s="27"/>
      <c r="T491" s="27"/>
      <c r="U491" s="27"/>
      <c r="V491" s="27"/>
      <c r="W491" s="27"/>
      <c r="X491" s="27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L492" s="29"/>
      <c r="M492" s="30"/>
      <c r="O492" s="27"/>
      <c r="P492" s="27"/>
      <c r="Q492" s="27"/>
      <c r="R492" s="27"/>
      <c r="S492" s="27"/>
      <c r="T492" s="27"/>
      <c r="U492" s="27"/>
      <c r="V492" s="27"/>
      <c r="W492" s="27"/>
      <c r="X492" s="27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L493" s="29"/>
      <c r="M493" s="30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L494" s="29"/>
      <c r="M494" s="30"/>
      <c r="O494" s="27"/>
      <c r="P494" s="27"/>
      <c r="Q494" s="27"/>
      <c r="R494" s="27"/>
      <c r="S494" s="27"/>
      <c r="T494" s="27"/>
      <c r="U494" s="27"/>
      <c r="V494" s="27"/>
      <c r="W494" s="27"/>
      <c r="X494" s="27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L495" s="29"/>
      <c r="M495" s="30"/>
      <c r="O495" s="27"/>
      <c r="P495" s="27"/>
      <c r="Q495" s="27"/>
      <c r="R495" s="27"/>
      <c r="S495" s="27"/>
      <c r="T495" s="27"/>
      <c r="U495" s="27"/>
      <c r="V495" s="27"/>
      <c r="W495" s="27"/>
      <c r="X495" s="27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L496" s="29"/>
      <c r="M496" s="30"/>
      <c r="O496" s="27"/>
      <c r="P496" s="27"/>
      <c r="Q496" s="27"/>
      <c r="R496" s="27"/>
      <c r="S496" s="27"/>
      <c r="T496" s="27"/>
      <c r="U496" s="27"/>
      <c r="V496" s="27"/>
      <c r="W496" s="27"/>
      <c r="X496" s="27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L497" s="29"/>
      <c r="M497" s="30"/>
      <c r="O497" s="27"/>
      <c r="P497" s="27"/>
      <c r="Q497" s="27"/>
      <c r="R497" s="27"/>
      <c r="S497" s="27"/>
      <c r="T497" s="27"/>
      <c r="U497" s="27"/>
      <c r="V497" s="27"/>
      <c r="W497" s="27"/>
      <c r="X497" s="27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L498" s="29"/>
      <c r="M498" s="30"/>
      <c r="O498" s="27"/>
      <c r="P498" s="27"/>
      <c r="Q498" s="27"/>
      <c r="R498" s="27"/>
      <c r="S498" s="27"/>
      <c r="T498" s="27"/>
      <c r="U498" s="27"/>
      <c r="V498" s="27"/>
      <c r="W498" s="27"/>
      <c r="X498" s="27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L499" s="29"/>
      <c r="M499" s="30"/>
      <c r="O499" s="27"/>
      <c r="P499" s="27"/>
      <c r="Q499" s="27"/>
      <c r="R499" s="27"/>
      <c r="S499" s="27"/>
      <c r="T499" s="27"/>
      <c r="U499" s="27"/>
      <c r="V499" s="27"/>
      <c r="W499" s="27"/>
      <c r="X499" s="27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L500" s="29"/>
      <c r="M500" s="30"/>
      <c r="O500" s="27"/>
      <c r="P500" s="27"/>
      <c r="Q500" s="27"/>
      <c r="R500" s="27"/>
      <c r="S500" s="27"/>
      <c r="T500" s="27"/>
      <c r="U500" s="27"/>
      <c r="V500" s="27"/>
      <c r="W500" s="27"/>
      <c r="X500" s="27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L501" s="29"/>
      <c r="M501" s="30"/>
      <c r="O501" s="27"/>
      <c r="P501" s="27"/>
      <c r="Q501" s="27"/>
      <c r="R501" s="27"/>
      <c r="S501" s="27"/>
      <c r="T501" s="27"/>
      <c r="U501" s="27"/>
      <c r="V501" s="27"/>
      <c r="W501" s="27"/>
      <c r="X501" s="27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L502" s="29"/>
      <c r="M502" s="30"/>
      <c r="O502" s="27"/>
      <c r="P502" s="27"/>
      <c r="Q502" s="27"/>
      <c r="R502" s="27"/>
      <c r="S502" s="27"/>
      <c r="T502" s="27"/>
      <c r="U502" s="27"/>
      <c r="V502" s="27"/>
      <c r="W502" s="27"/>
      <c r="X502" s="27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L503" s="29"/>
      <c r="M503" s="30"/>
      <c r="O503" s="27"/>
      <c r="P503" s="27"/>
      <c r="Q503" s="27"/>
      <c r="R503" s="27"/>
      <c r="S503" s="27"/>
      <c r="T503" s="27"/>
      <c r="U503" s="27"/>
      <c r="V503" s="27"/>
      <c r="W503" s="27"/>
      <c r="X503" s="27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L504" s="29"/>
      <c r="M504" s="30"/>
      <c r="O504" s="27"/>
      <c r="P504" s="27"/>
      <c r="Q504" s="27"/>
      <c r="R504" s="27"/>
      <c r="S504" s="27"/>
      <c r="T504" s="27"/>
      <c r="U504" s="27"/>
      <c r="V504" s="27"/>
      <c r="W504" s="27"/>
      <c r="X504" s="27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L505" s="29"/>
      <c r="M505" s="30"/>
      <c r="O505" s="27"/>
      <c r="P505" s="27"/>
      <c r="Q505" s="27"/>
      <c r="R505" s="27"/>
      <c r="S505" s="27"/>
      <c r="T505" s="27"/>
      <c r="U505" s="27"/>
      <c r="V505" s="27"/>
      <c r="W505" s="27"/>
      <c r="X505" s="27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L506" s="29"/>
      <c r="M506" s="30"/>
      <c r="O506" s="27"/>
      <c r="P506" s="27"/>
      <c r="Q506" s="27"/>
      <c r="R506" s="27"/>
      <c r="S506" s="27"/>
      <c r="T506" s="27"/>
      <c r="U506" s="27"/>
      <c r="V506" s="27"/>
      <c r="W506" s="27"/>
      <c r="X506" s="27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L507" s="29"/>
      <c r="M507" s="30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L508" s="29"/>
      <c r="M508" s="30"/>
      <c r="O508" s="27"/>
      <c r="P508" s="27"/>
      <c r="Q508" s="27"/>
      <c r="R508" s="27"/>
      <c r="S508" s="27"/>
      <c r="T508" s="27"/>
      <c r="U508" s="27"/>
      <c r="V508" s="27"/>
      <c r="W508" s="27"/>
      <c r="X508" s="27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L509" s="29"/>
      <c r="M509" s="30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L510" s="29"/>
      <c r="M510" s="30"/>
      <c r="O510" s="27"/>
      <c r="P510" s="27"/>
      <c r="Q510" s="27"/>
      <c r="R510" s="27"/>
      <c r="S510" s="27"/>
      <c r="T510" s="27"/>
      <c r="U510" s="27"/>
      <c r="V510" s="27"/>
      <c r="W510" s="27"/>
      <c r="X510" s="27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L511" s="29"/>
      <c r="M511" s="30"/>
      <c r="O511" s="27"/>
      <c r="P511" s="27"/>
      <c r="Q511" s="27"/>
      <c r="R511" s="27"/>
      <c r="S511" s="27"/>
      <c r="T511" s="27"/>
      <c r="U511" s="27"/>
      <c r="V511" s="27"/>
      <c r="W511" s="27"/>
      <c r="X511" s="27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L512" s="29"/>
      <c r="M512" s="30"/>
      <c r="O512" s="27"/>
      <c r="P512" s="27"/>
      <c r="Q512" s="27"/>
      <c r="R512" s="27"/>
      <c r="S512" s="27"/>
      <c r="T512" s="27"/>
      <c r="U512" s="27"/>
      <c r="V512" s="27"/>
      <c r="W512" s="27"/>
      <c r="X512" s="27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L513" s="29"/>
      <c r="M513" s="30"/>
      <c r="O513" s="27"/>
      <c r="P513" s="27"/>
      <c r="Q513" s="27"/>
      <c r="R513" s="27"/>
      <c r="S513" s="27"/>
      <c r="T513" s="27"/>
      <c r="U513" s="27"/>
      <c r="V513" s="27"/>
      <c r="W513" s="27"/>
      <c r="X513" s="27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L514" s="29"/>
      <c r="M514" s="30"/>
      <c r="O514" s="27"/>
      <c r="P514" s="27"/>
      <c r="Q514" s="27"/>
      <c r="R514" s="27"/>
      <c r="S514" s="27"/>
      <c r="T514" s="27"/>
      <c r="U514" s="27"/>
      <c r="V514" s="27"/>
      <c r="W514" s="27"/>
      <c r="X514" s="27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L515" s="29"/>
      <c r="M515" s="30"/>
      <c r="O515" s="27"/>
      <c r="P515" s="27"/>
      <c r="Q515" s="27"/>
      <c r="R515" s="27"/>
      <c r="S515" s="27"/>
      <c r="T515" s="27"/>
      <c r="U515" s="27"/>
      <c r="V515" s="27"/>
      <c r="W515" s="27"/>
      <c r="X515" s="27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L516" s="29"/>
      <c r="M516" s="30"/>
      <c r="O516" s="27"/>
      <c r="P516" s="27"/>
      <c r="Q516" s="27"/>
      <c r="R516" s="27"/>
      <c r="S516" s="27"/>
      <c r="T516" s="27"/>
      <c r="U516" s="27"/>
      <c r="V516" s="27"/>
      <c r="W516" s="27"/>
      <c r="X516" s="27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L517" s="29"/>
      <c r="M517" s="30"/>
      <c r="O517" s="27"/>
      <c r="P517" s="27"/>
      <c r="Q517" s="27"/>
      <c r="R517" s="27"/>
      <c r="S517" s="27"/>
      <c r="T517" s="27"/>
      <c r="U517" s="27"/>
      <c r="V517" s="27"/>
      <c r="W517" s="27"/>
      <c r="X517" s="27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L518" s="29"/>
      <c r="M518" s="30"/>
      <c r="O518" s="27"/>
      <c r="P518" s="27"/>
      <c r="Q518" s="27"/>
      <c r="R518" s="27"/>
      <c r="S518" s="27"/>
      <c r="T518" s="27"/>
      <c r="U518" s="27"/>
      <c r="V518" s="27"/>
      <c r="W518" s="27"/>
      <c r="X518" s="27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L519" s="29"/>
      <c r="M519" s="30"/>
      <c r="O519" s="27"/>
      <c r="P519" s="27"/>
      <c r="Q519" s="27"/>
      <c r="R519" s="27"/>
      <c r="S519" s="27"/>
      <c r="T519" s="27"/>
      <c r="U519" s="27"/>
      <c r="V519" s="27"/>
      <c r="W519" s="27"/>
      <c r="X519" s="27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L520" s="29"/>
      <c r="M520" s="30"/>
      <c r="O520" s="27"/>
      <c r="P520" s="27"/>
      <c r="Q520" s="27"/>
      <c r="R520" s="27"/>
      <c r="S520" s="27"/>
      <c r="T520" s="27"/>
      <c r="U520" s="27"/>
      <c r="V520" s="27"/>
      <c r="W520" s="27"/>
      <c r="X520" s="27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L521" s="29"/>
      <c r="M521" s="30"/>
      <c r="O521" s="27"/>
      <c r="P521" s="27"/>
      <c r="Q521" s="27"/>
      <c r="R521" s="27"/>
      <c r="S521" s="27"/>
      <c r="T521" s="27"/>
      <c r="U521" s="27"/>
      <c r="V521" s="27"/>
      <c r="W521" s="27"/>
      <c r="X521" s="27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L522" s="29"/>
      <c r="M522" s="30"/>
      <c r="O522" s="27"/>
      <c r="P522" s="27"/>
      <c r="Q522" s="27"/>
      <c r="R522" s="27"/>
      <c r="S522" s="27"/>
      <c r="T522" s="27"/>
      <c r="U522" s="27"/>
      <c r="V522" s="27"/>
      <c r="W522" s="27"/>
      <c r="X522" s="27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L523" s="29"/>
      <c r="M523" s="30"/>
      <c r="O523" s="27"/>
      <c r="P523" s="27"/>
      <c r="Q523" s="27"/>
      <c r="R523" s="27"/>
      <c r="S523" s="27"/>
      <c r="T523" s="27"/>
      <c r="U523" s="27"/>
      <c r="V523" s="27"/>
      <c r="W523" s="27"/>
      <c r="X523" s="27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L524" s="29"/>
      <c r="M524" s="30"/>
      <c r="O524" s="27"/>
      <c r="P524" s="27"/>
      <c r="Q524" s="27"/>
      <c r="R524" s="27"/>
      <c r="S524" s="27"/>
      <c r="T524" s="27"/>
      <c r="U524" s="27"/>
      <c r="V524" s="27"/>
      <c r="W524" s="27"/>
      <c r="X524" s="27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L525" s="29"/>
      <c r="M525" s="30"/>
      <c r="O525" s="27"/>
      <c r="P525" s="27"/>
      <c r="Q525" s="27"/>
      <c r="R525" s="27"/>
      <c r="S525" s="27"/>
      <c r="T525" s="27"/>
      <c r="U525" s="27"/>
      <c r="V525" s="27"/>
      <c r="W525" s="27"/>
      <c r="X525" s="27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L526" s="29"/>
      <c r="M526" s="30"/>
      <c r="O526" s="27"/>
      <c r="P526" s="27"/>
      <c r="Q526" s="27"/>
      <c r="R526" s="27"/>
      <c r="S526" s="27"/>
      <c r="T526" s="27"/>
      <c r="U526" s="27"/>
      <c r="V526" s="27"/>
      <c r="W526" s="27"/>
      <c r="X526" s="27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L527" s="29"/>
      <c r="M527" s="30"/>
      <c r="O527" s="27"/>
      <c r="P527" s="27"/>
      <c r="Q527" s="27"/>
      <c r="R527" s="27"/>
      <c r="S527" s="27"/>
      <c r="T527" s="27"/>
      <c r="U527" s="27"/>
      <c r="V527" s="27"/>
      <c r="W527" s="27"/>
      <c r="X527" s="27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L528" s="29"/>
      <c r="M528" s="30"/>
      <c r="O528" s="27"/>
      <c r="P528" s="27"/>
      <c r="Q528" s="27"/>
      <c r="R528" s="27"/>
      <c r="S528" s="27"/>
      <c r="T528" s="27"/>
      <c r="U528" s="27"/>
      <c r="V528" s="27"/>
      <c r="W528" s="27"/>
      <c r="X528" s="27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L529" s="29"/>
      <c r="M529" s="30"/>
      <c r="O529" s="27"/>
      <c r="P529" s="27"/>
      <c r="Q529" s="27"/>
      <c r="R529" s="27"/>
      <c r="S529" s="27"/>
      <c r="T529" s="27"/>
      <c r="U529" s="27"/>
      <c r="V529" s="27"/>
      <c r="W529" s="27"/>
      <c r="X529" s="27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L530" s="29"/>
      <c r="M530" s="30"/>
      <c r="O530" s="27"/>
      <c r="P530" s="27"/>
      <c r="Q530" s="27"/>
      <c r="R530" s="27"/>
      <c r="S530" s="27"/>
      <c r="T530" s="27"/>
      <c r="U530" s="27"/>
      <c r="V530" s="27"/>
      <c r="W530" s="27"/>
      <c r="X530" s="27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L531" s="29"/>
      <c r="M531" s="30"/>
      <c r="O531" s="27"/>
      <c r="P531" s="27"/>
      <c r="Q531" s="27"/>
      <c r="R531" s="27"/>
      <c r="S531" s="27"/>
      <c r="T531" s="27"/>
      <c r="U531" s="27"/>
      <c r="V531" s="27"/>
      <c r="W531" s="27"/>
      <c r="X531" s="27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L532" s="29"/>
      <c r="M532" s="30"/>
      <c r="O532" s="27"/>
      <c r="P532" s="27"/>
      <c r="Q532" s="27"/>
      <c r="R532" s="27"/>
      <c r="S532" s="27"/>
      <c r="T532" s="27"/>
      <c r="U532" s="27"/>
      <c r="V532" s="27"/>
      <c r="W532" s="27"/>
      <c r="X532" s="27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L533" s="29"/>
      <c r="M533" s="30"/>
      <c r="O533" s="27"/>
      <c r="P533" s="27"/>
      <c r="Q533" s="27"/>
      <c r="R533" s="27"/>
      <c r="S533" s="27"/>
      <c r="T533" s="27"/>
      <c r="U533" s="27"/>
      <c r="V533" s="27"/>
      <c r="W533" s="27"/>
      <c r="X533" s="27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L534" s="29"/>
      <c r="M534" s="30"/>
      <c r="O534" s="27"/>
      <c r="P534" s="27"/>
      <c r="Q534" s="27"/>
      <c r="R534" s="27"/>
      <c r="S534" s="27"/>
      <c r="T534" s="27"/>
      <c r="U534" s="27"/>
      <c r="V534" s="27"/>
      <c r="W534" s="27"/>
      <c r="X534" s="27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L535" s="29"/>
      <c r="M535" s="30"/>
      <c r="O535" s="27"/>
      <c r="P535" s="27"/>
      <c r="Q535" s="27"/>
      <c r="R535" s="27"/>
      <c r="S535" s="27"/>
      <c r="T535" s="27"/>
      <c r="U535" s="27"/>
      <c r="V535" s="27"/>
      <c r="W535" s="27"/>
      <c r="X535" s="27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L536" s="29"/>
      <c r="M536" s="30"/>
      <c r="O536" s="27"/>
      <c r="P536" s="27"/>
      <c r="Q536" s="27"/>
      <c r="R536" s="27"/>
      <c r="S536" s="27"/>
      <c r="T536" s="27"/>
      <c r="U536" s="27"/>
      <c r="V536" s="27"/>
      <c r="W536" s="27"/>
      <c r="X536" s="27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L537" s="29"/>
      <c r="M537" s="30"/>
      <c r="O537" s="27"/>
      <c r="P537" s="27"/>
      <c r="Q537" s="27"/>
      <c r="R537" s="27"/>
      <c r="S537" s="27"/>
      <c r="T537" s="27"/>
      <c r="U537" s="27"/>
      <c r="V537" s="27"/>
      <c r="W537" s="27"/>
      <c r="X537" s="27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L538" s="29"/>
      <c r="M538" s="30"/>
      <c r="O538" s="27"/>
      <c r="P538" s="27"/>
      <c r="Q538" s="27"/>
      <c r="R538" s="27"/>
      <c r="S538" s="27"/>
      <c r="T538" s="27"/>
      <c r="U538" s="27"/>
      <c r="V538" s="27"/>
      <c r="W538" s="27"/>
      <c r="X538" s="27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L539" s="29"/>
      <c r="M539" s="30"/>
      <c r="O539" s="27"/>
      <c r="P539" s="27"/>
      <c r="Q539" s="27"/>
      <c r="R539" s="27"/>
      <c r="S539" s="27"/>
      <c r="T539" s="27"/>
      <c r="U539" s="27"/>
      <c r="V539" s="27"/>
      <c r="W539" s="27"/>
      <c r="X539" s="27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L540" s="29"/>
      <c r="M540" s="30"/>
      <c r="O540" s="27"/>
      <c r="P540" s="27"/>
      <c r="Q540" s="27"/>
      <c r="R540" s="27"/>
      <c r="S540" s="27"/>
      <c r="T540" s="27"/>
      <c r="U540" s="27"/>
      <c r="V540" s="27"/>
      <c r="W540" s="27"/>
      <c r="X540" s="27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L541" s="29"/>
      <c r="M541" s="30"/>
      <c r="O541" s="27"/>
      <c r="P541" s="27"/>
      <c r="Q541" s="27"/>
      <c r="R541" s="27"/>
      <c r="S541" s="27"/>
      <c r="T541" s="27"/>
      <c r="U541" s="27"/>
      <c r="V541" s="27"/>
      <c r="W541" s="27"/>
      <c r="X541" s="27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L542" s="29"/>
      <c r="M542" s="30"/>
      <c r="O542" s="27"/>
      <c r="P542" s="27"/>
      <c r="Q542" s="27"/>
      <c r="R542" s="27"/>
      <c r="S542" s="27"/>
      <c r="T542" s="27"/>
      <c r="U542" s="27"/>
      <c r="V542" s="27"/>
      <c r="W542" s="27"/>
      <c r="X542" s="27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L543" s="29"/>
      <c r="M543" s="30"/>
      <c r="O543" s="27"/>
      <c r="P543" s="27"/>
      <c r="Q543" s="27"/>
      <c r="R543" s="27"/>
      <c r="S543" s="27"/>
      <c r="T543" s="27"/>
      <c r="U543" s="27"/>
      <c r="V543" s="27"/>
      <c r="W543" s="27"/>
      <c r="X543" s="27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L544" s="29"/>
      <c r="M544" s="30"/>
      <c r="O544" s="27"/>
      <c r="P544" s="27"/>
      <c r="Q544" s="27"/>
      <c r="R544" s="27"/>
      <c r="S544" s="27"/>
      <c r="T544" s="27"/>
      <c r="U544" s="27"/>
      <c r="V544" s="27"/>
      <c r="W544" s="27"/>
      <c r="X544" s="27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L545" s="29"/>
      <c r="M545" s="30"/>
      <c r="O545" s="27"/>
      <c r="P545" s="27"/>
      <c r="Q545" s="27"/>
      <c r="R545" s="27"/>
      <c r="S545" s="27"/>
      <c r="T545" s="27"/>
      <c r="U545" s="27"/>
      <c r="V545" s="27"/>
      <c r="W545" s="27"/>
      <c r="X545" s="27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L546" s="29"/>
      <c r="M546" s="30"/>
      <c r="O546" s="27"/>
      <c r="P546" s="27"/>
      <c r="Q546" s="27"/>
      <c r="R546" s="27"/>
      <c r="S546" s="27"/>
      <c r="T546" s="27"/>
      <c r="U546" s="27"/>
      <c r="V546" s="27"/>
      <c r="W546" s="27"/>
      <c r="X546" s="27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L547" s="29"/>
      <c r="M547" s="30"/>
      <c r="O547" s="27"/>
      <c r="P547" s="27"/>
      <c r="Q547" s="27"/>
      <c r="R547" s="27"/>
      <c r="S547" s="27"/>
      <c r="T547" s="27"/>
      <c r="U547" s="27"/>
      <c r="V547" s="27"/>
      <c r="W547" s="27"/>
      <c r="X547" s="27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L548" s="29"/>
      <c r="M548" s="30"/>
      <c r="O548" s="27"/>
      <c r="P548" s="27"/>
      <c r="Q548" s="27"/>
      <c r="R548" s="27"/>
      <c r="S548" s="27"/>
      <c r="T548" s="27"/>
      <c r="U548" s="27"/>
      <c r="V548" s="27"/>
      <c r="W548" s="27"/>
      <c r="X548" s="27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L549" s="29"/>
      <c r="M549" s="30"/>
      <c r="O549" s="27"/>
      <c r="P549" s="27"/>
      <c r="Q549" s="27"/>
      <c r="R549" s="27"/>
      <c r="S549" s="27"/>
      <c r="T549" s="27"/>
      <c r="U549" s="27"/>
      <c r="V549" s="27"/>
      <c r="W549" s="27"/>
      <c r="X549" s="27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L550" s="29"/>
      <c r="M550" s="30"/>
      <c r="O550" s="27"/>
      <c r="P550" s="27"/>
      <c r="Q550" s="27"/>
      <c r="R550" s="27"/>
      <c r="S550" s="27"/>
      <c r="T550" s="27"/>
      <c r="U550" s="27"/>
      <c r="V550" s="27"/>
      <c r="W550" s="27"/>
      <c r="X550" s="27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L551" s="29"/>
      <c r="M551" s="30"/>
      <c r="O551" s="27"/>
      <c r="P551" s="27"/>
      <c r="Q551" s="27"/>
      <c r="R551" s="27"/>
      <c r="S551" s="27"/>
      <c r="T551" s="27"/>
      <c r="U551" s="27"/>
      <c r="V551" s="27"/>
      <c r="W551" s="27"/>
      <c r="X551" s="27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L552" s="29"/>
      <c r="M552" s="30"/>
      <c r="O552" s="27"/>
      <c r="P552" s="27"/>
      <c r="Q552" s="27"/>
      <c r="R552" s="27"/>
      <c r="S552" s="27"/>
      <c r="T552" s="27"/>
      <c r="U552" s="27"/>
      <c r="V552" s="27"/>
      <c r="W552" s="27"/>
      <c r="X552" s="27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L553" s="29"/>
      <c r="M553" s="30"/>
      <c r="O553" s="27"/>
      <c r="P553" s="27"/>
      <c r="Q553" s="27"/>
      <c r="R553" s="27"/>
      <c r="S553" s="27"/>
      <c r="T553" s="27"/>
      <c r="U553" s="27"/>
      <c r="V553" s="27"/>
      <c r="W553" s="27"/>
      <c r="X553" s="27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L554" s="29"/>
      <c r="M554" s="30"/>
      <c r="O554" s="27"/>
      <c r="P554" s="27"/>
      <c r="Q554" s="27"/>
      <c r="R554" s="27"/>
      <c r="S554" s="27"/>
      <c r="T554" s="27"/>
      <c r="U554" s="27"/>
      <c r="V554" s="27"/>
      <c r="W554" s="27"/>
      <c r="X554" s="27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L555" s="29"/>
      <c r="M555" s="30"/>
      <c r="O555" s="27"/>
      <c r="P555" s="27"/>
      <c r="Q555" s="27"/>
      <c r="R555" s="27"/>
      <c r="S555" s="27"/>
      <c r="T555" s="27"/>
      <c r="U555" s="27"/>
      <c r="V555" s="27"/>
      <c r="W555" s="27"/>
      <c r="X555" s="27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L556" s="29"/>
      <c r="M556" s="30"/>
      <c r="O556" s="27"/>
      <c r="P556" s="27"/>
      <c r="Q556" s="27"/>
      <c r="R556" s="27"/>
      <c r="S556" s="27"/>
      <c r="T556" s="27"/>
      <c r="U556" s="27"/>
      <c r="V556" s="27"/>
      <c r="W556" s="27"/>
      <c r="X556" s="27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L557" s="29"/>
      <c r="M557" s="30"/>
      <c r="O557" s="27"/>
      <c r="P557" s="27"/>
      <c r="Q557" s="27"/>
      <c r="R557" s="27"/>
      <c r="S557" s="27"/>
      <c r="T557" s="27"/>
      <c r="U557" s="27"/>
      <c r="V557" s="27"/>
      <c r="W557" s="27"/>
      <c r="X557" s="27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L558" s="29"/>
      <c r="M558" s="30"/>
      <c r="O558" s="27"/>
      <c r="P558" s="27"/>
      <c r="Q558" s="27"/>
      <c r="R558" s="27"/>
      <c r="S558" s="27"/>
      <c r="T558" s="27"/>
      <c r="U558" s="27"/>
      <c r="V558" s="27"/>
      <c r="W558" s="27"/>
      <c r="X558" s="27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L559" s="29"/>
      <c r="M559" s="30"/>
      <c r="O559" s="27"/>
      <c r="P559" s="27"/>
      <c r="Q559" s="27"/>
      <c r="R559" s="27"/>
      <c r="S559" s="27"/>
      <c r="T559" s="27"/>
      <c r="U559" s="27"/>
      <c r="V559" s="27"/>
      <c r="W559" s="27"/>
      <c r="X559" s="27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L560" s="29"/>
      <c r="M560" s="30"/>
      <c r="O560" s="27"/>
      <c r="P560" s="27"/>
      <c r="Q560" s="27"/>
      <c r="R560" s="27"/>
      <c r="S560" s="27"/>
      <c r="T560" s="27"/>
      <c r="U560" s="27"/>
      <c r="V560" s="27"/>
      <c r="W560" s="27"/>
      <c r="X560" s="27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L561" s="29"/>
      <c r="M561" s="30"/>
      <c r="O561" s="27"/>
      <c r="P561" s="27"/>
      <c r="Q561" s="27"/>
      <c r="R561" s="27"/>
      <c r="S561" s="27"/>
      <c r="T561" s="27"/>
      <c r="U561" s="27"/>
      <c r="V561" s="27"/>
      <c r="W561" s="27"/>
      <c r="X561" s="27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L562" s="29"/>
      <c r="M562" s="30"/>
      <c r="O562" s="27"/>
      <c r="P562" s="27"/>
      <c r="Q562" s="27"/>
      <c r="R562" s="27"/>
      <c r="S562" s="27"/>
      <c r="T562" s="27"/>
      <c r="U562" s="27"/>
      <c r="V562" s="27"/>
      <c r="W562" s="27"/>
      <c r="X562" s="27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L563" s="29"/>
      <c r="M563" s="30"/>
      <c r="O563" s="27"/>
      <c r="P563" s="27"/>
      <c r="Q563" s="27"/>
      <c r="R563" s="27"/>
      <c r="S563" s="27"/>
      <c r="T563" s="27"/>
      <c r="U563" s="27"/>
      <c r="V563" s="27"/>
      <c r="W563" s="27"/>
      <c r="X563" s="27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L564" s="29"/>
      <c r="M564" s="30"/>
      <c r="O564" s="27"/>
      <c r="P564" s="27"/>
      <c r="Q564" s="27"/>
      <c r="R564" s="27"/>
      <c r="S564" s="27"/>
      <c r="T564" s="27"/>
      <c r="U564" s="27"/>
      <c r="V564" s="27"/>
      <c r="W564" s="27"/>
      <c r="X564" s="27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L565" s="29"/>
      <c r="M565" s="30"/>
      <c r="O565" s="27"/>
      <c r="P565" s="27"/>
      <c r="Q565" s="27"/>
      <c r="R565" s="27"/>
      <c r="S565" s="27"/>
      <c r="T565" s="27"/>
      <c r="U565" s="27"/>
      <c r="V565" s="27"/>
      <c r="W565" s="27"/>
      <c r="X565" s="27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L566" s="29"/>
      <c r="M566" s="30"/>
      <c r="O566" s="27"/>
      <c r="P566" s="27"/>
      <c r="Q566" s="27"/>
      <c r="R566" s="27"/>
      <c r="S566" s="27"/>
      <c r="T566" s="27"/>
      <c r="U566" s="27"/>
      <c r="V566" s="27"/>
      <c r="W566" s="27"/>
      <c r="X566" s="27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L567" s="29"/>
      <c r="M567" s="30"/>
      <c r="O567" s="27"/>
      <c r="P567" s="27"/>
      <c r="Q567" s="27"/>
      <c r="R567" s="27"/>
      <c r="S567" s="27"/>
      <c r="T567" s="27"/>
      <c r="U567" s="27"/>
      <c r="V567" s="27"/>
      <c r="W567" s="27"/>
      <c r="X567" s="27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L568" s="29"/>
      <c r="M568" s="30"/>
      <c r="O568" s="27"/>
      <c r="P568" s="27"/>
      <c r="Q568" s="27"/>
      <c r="R568" s="27"/>
      <c r="S568" s="27"/>
      <c r="T568" s="27"/>
      <c r="U568" s="27"/>
      <c r="V568" s="27"/>
      <c r="W568" s="27"/>
      <c r="X568" s="27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L569" s="29"/>
      <c r="M569" s="30"/>
      <c r="O569" s="27"/>
      <c r="P569" s="27"/>
      <c r="Q569" s="27"/>
      <c r="R569" s="27"/>
      <c r="S569" s="27"/>
      <c r="T569" s="27"/>
      <c r="U569" s="27"/>
      <c r="V569" s="27"/>
      <c r="W569" s="27"/>
      <c r="X569" s="27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L570" s="29"/>
      <c r="M570" s="30"/>
      <c r="O570" s="27"/>
      <c r="P570" s="27"/>
      <c r="Q570" s="27"/>
      <c r="R570" s="27"/>
      <c r="S570" s="27"/>
      <c r="T570" s="27"/>
      <c r="U570" s="27"/>
      <c r="V570" s="27"/>
      <c r="W570" s="27"/>
      <c r="X570" s="27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L571" s="29"/>
      <c r="M571" s="30"/>
      <c r="O571" s="27"/>
      <c r="P571" s="27"/>
      <c r="Q571" s="27"/>
      <c r="R571" s="27"/>
      <c r="S571" s="27"/>
      <c r="T571" s="27"/>
      <c r="U571" s="27"/>
      <c r="V571" s="27"/>
      <c r="W571" s="27"/>
      <c r="X571" s="27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L572" s="29"/>
      <c r="M572" s="30"/>
      <c r="O572" s="27"/>
      <c r="P572" s="27"/>
      <c r="Q572" s="27"/>
      <c r="R572" s="27"/>
      <c r="S572" s="27"/>
      <c r="T572" s="27"/>
      <c r="U572" s="27"/>
      <c r="V572" s="27"/>
      <c r="W572" s="27"/>
      <c r="X572" s="27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L573" s="29"/>
      <c r="M573" s="30"/>
      <c r="O573" s="27"/>
      <c r="P573" s="27"/>
      <c r="Q573" s="27"/>
      <c r="R573" s="27"/>
      <c r="S573" s="27"/>
      <c r="T573" s="27"/>
      <c r="U573" s="27"/>
      <c r="V573" s="27"/>
      <c r="W573" s="27"/>
      <c r="X573" s="27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L574" s="29"/>
      <c r="M574" s="30"/>
      <c r="O574" s="27"/>
      <c r="P574" s="27"/>
      <c r="Q574" s="27"/>
      <c r="R574" s="27"/>
      <c r="S574" s="27"/>
      <c r="T574" s="27"/>
      <c r="U574" s="27"/>
      <c r="V574" s="27"/>
      <c r="W574" s="27"/>
      <c r="X574" s="27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L575" s="29"/>
      <c r="M575" s="30"/>
      <c r="O575" s="27"/>
      <c r="P575" s="27"/>
      <c r="Q575" s="27"/>
      <c r="R575" s="27"/>
      <c r="S575" s="27"/>
      <c r="T575" s="27"/>
      <c r="U575" s="27"/>
      <c r="V575" s="27"/>
      <c r="W575" s="27"/>
      <c r="X575" s="27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L576" s="29"/>
      <c r="M576" s="30"/>
      <c r="O576" s="27"/>
      <c r="P576" s="27"/>
      <c r="Q576" s="27"/>
      <c r="R576" s="27"/>
      <c r="S576" s="27"/>
      <c r="T576" s="27"/>
      <c r="U576" s="27"/>
      <c r="V576" s="27"/>
      <c r="W576" s="27"/>
      <c r="X576" s="27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L577" s="29"/>
      <c r="M577" s="30"/>
      <c r="O577" s="27"/>
      <c r="P577" s="27"/>
      <c r="Q577" s="27"/>
      <c r="R577" s="27"/>
      <c r="S577" s="27"/>
      <c r="T577" s="27"/>
      <c r="U577" s="27"/>
      <c r="V577" s="27"/>
      <c r="W577" s="27"/>
      <c r="X577" s="27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L578" s="29"/>
      <c r="M578" s="30"/>
      <c r="O578" s="27"/>
      <c r="P578" s="27"/>
      <c r="Q578" s="27"/>
      <c r="R578" s="27"/>
      <c r="S578" s="27"/>
      <c r="T578" s="27"/>
      <c r="U578" s="27"/>
      <c r="V578" s="27"/>
      <c r="W578" s="27"/>
      <c r="X578" s="27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L579" s="29"/>
      <c r="M579" s="30"/>
      <c r="O579" s="27"/>
      <c r="P579" s="27"/>
      <c r="Q579" s="27"/>
      <c r="R579" s="27"/>
      <c r="S579" s="27"/>
      <c r="T579" s="27"/>
      <c r="U579" s="27"/>
      <c r="V579" s="27"/>
      <c r="W579" s="27"/>
      <c r="X579" s="27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L580" s="29"/>
      <c r="M580" s="30"/>
      <c r="O580" s="27"/>
      <c r="P580" s="27"/>
      <c r="Q580" s="27"/>
      <c r="R580" s="27"/>
      <c r="S580" s="27"/>
      <c r="T580" s="27"/>
      <c r="U580" s="27"/>
      <c r="V580" s="27"/>
      <c r="W580" s="27"/>
      <c r="X580" s="27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L581" s="29"/>
      <c r="M581" s="30"/>
      <c r="O581" s="27"/>
      <c r="P581" s="27"/>
      <c r="Q581" s="27"/>
      <c r="R581" s="27"/>
      <c r="S581" s="27"/>
      <c r="T581" s="27"/>
      <c r="U581" s="27"/>
      <c r="V581" s="27"/>
      <c r="W581" s="27"/>
      <c r="X581" s="27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L582" s="29"/>
      <c r="M582" s="30"/>
      <c r="O582" s="27"/>
      <c r="P582" s="27"/>
      <c r="Q582" s="27"/>
      <c r="R582" s="27"/>
      <c r="S582" s="27"/>
      <c r="T582" s="27"/>
      <c r="U582" s="27"/>
      <c r="V582" s="27"/>
      <c r="W582" s="27"/>
      <c r="X582" s="27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L583" s="29"/>
      <c r="M583" s="30"/>
      <c r="O583" s="27"/>
      <c r="P583" s="27"/>
      <c r="Q583" s="27"/>
      <c r="R583" s="27"/>
      <c r="S583" s="27"/>
      <c r="T583" s="27"/>
      <c r="U583" s="27"/>
      <c r="V583" s="27"/>
      <c r="W583" s="27"/>
      <c r="X583" s="27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L584" s="29"/>
      <c r="M584" s="30"/>
      <c r="O584" s="27"/>
      <c r="P584" s="27"/>
      <c r="Q584" s="27"/>
      <c r="R584" s="27"/>
      <c r="S584" s="27"/>
      <c r="T584" s="27"/>
      <c r="U584" s="27"/>
      <c r="V584" s="27"/>
      <c r="W584" s="27"/>
      <c r="X584" s="27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L585" s="29"/>
      <c r="M585" s="30"/>
      <c r="O585" s="27"/>
      <c r="P585" s="27"/>
      <c r="Q585" s="27"/>
      <c r="R585" s="27"/>
      <c r="S585" s="27"/>
      <c r="T585" s="27"/>
      <c r="U585" s="27"/>
      <c r="V585" s="27"/>
      <c r="W585" s="27"/>
      <c r="X585" s="27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L586" s="29"/>
      <c r="M586" s="30"/>
      <c r="O586" s="27"/>
      <c r="P586" s="27"/>
      <c r="Q586" s="27"/>
      <c r="R586" s="27"/>
      <c r="S586" s="27"/>
      <c r="T586" s="27"/>
      <c r="U586" s="27"/>
      <c r="V586" s="27"/>
      <c r="W586" s="27"/>
      <c r="X586" s="27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L587" s="29"/>
      <c r="M587" s="30"/>
      <c r="O587" s="27"/>
      <c r="P587" s="27"/>
      <c r="Q587" s="27"/>
      <c r="R587" s="27"/>
      <c r="S587" s="27"/>
      <c r="T587" s="27"/>
      <c r="U587" s="27"/>
      <c r="V587" s="27"/>
      <c r="W587" s="27"/>
      <c r="X587" s="27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L588" s="29"/>
      <c r="M588" s="30"/>
      <c r="O588" s="27"/>
      <c r="P588" s="27"/>
      <c r="Q588" s="27"/>
      <c r="R588" s="27"/>
      <c r="S588" s="27"/>
      <c r="T588" s="27"/>
      <c r="U588" s="27"/>
      <c r="V588" s="27"/>
      <c r="W588" s="27"/>
      <c r="X588" s="27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L589" s="29"/>
      <c r="M589" s="30"/>
      <c r="O589" s="27"/>
      <c r="P589" s="27"/>
      <c r="Q589" s="27"/>
      <c r="R589" s="27"/>
      <c r="S589" s="27"/>
      <c r="T589" s="27"/>
      <c r="U589" s="27"/>
      <c r="V589" s="27"/>
      <c r="W589" s="27"/>
      <c r="X589" s="27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L590" s="29"/>
      <c r="M590" s="30"/>
      <c r="O590" s="27"/>
      <c r="P590" s="27"/>
      <c r="Q590" s="27"/>
      <c r="R590" s="27"/>
      <c r="S590" s="27"/>
      <c r="T590" s="27"/>
      <c r="U590" s="27"/>
      <c r="V590" s="27"/>
      <c r="W590" s="27"/>
      <c r="X590" s="27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L591" s="29"/>
      <c r="M591" s="30"/>
      <c r="O591" s="27"/>
      <c r="P591" s="27"/>
      <c r="Q591" s="27"/>
      <c r="R591" s="27"/>
      <c r="S591" s="27"/>
      <c r="T591" s="27"/>
      <c r="U591" s="27"/>
      <c r="V591" s="27"/>
      <c r="W591" s="27"/>
      <c r="X591" s="27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L592" s="29"/>
      <c r="M592" s="30"/>
      <c r="O592" s="27"/>
      <c r="P592" s="27"/>
      <c r="Q592" s="27"/>
      <c r="R592" s="27"/>
      <c r="S592" s="27"/>
      <c r="T592" s="27"/>
      <c r="U592" s="27"/>
      <c r="V592" s="27"/>
      <c r="W592" s="27"/>
      <c r="X592" s="27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L593" s="29"/>
      <c r="M593" s="30"/>
      <c r="O593" s="27"/>
      <c r="P593" s="27"/>
      <c r="Q593" s="27"/>
      <c r="R593" s="27"/>
      <c r="S593" s="27"/>
      <c r="T593" s="27"/>
      <c r="U593" s="27"/>
      <c r="V593" s="27"/>
      <c r="W593" s="27"/>
      <c r="X593" s="27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L594" s="29"/>
      <c r="M594" s="30"/>
      <c r="O594" s="27"/>
      <c r="P594" s="27"/>
      <c r="Q594" s="27"/>
      <c r="R594" s="27"/>
      <c r="S594" s="27"/>
      <c r="T594" s="27"/>
      <c r="U594" s="27"/>
      <c r="V594" s="27"/>
      <c r="W594" s="27"/>
      <c r="X594" s="27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L595" s="29"/>
      <c r="M595" s="30"/>
      <c r="O595" s="27"/>
      <c r="P595" s="27"/>
      <c r="Q595" s="27"/>
      <c r="R595" s="27"/>
      <c r="S595" s="27"/>
      <c r="T595" s="27"/>
      <c r="U595" s="27"/>
      <c r="V595" s="27"/>
      <c r="W595" s="27"/>
      <c r="X595" s="27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L596" s="29"/>
      <c r="M596" s="30"/>
      <c r="O596" s="27"/>
      <c r="P596" s="27"/>
      <c r="Q596" s="27"/>
      <c r="R596" s="27"/>
      <c r="S596" s="27"/>
      <c r="T596" s="27"/>
      <c r="U596" s="27"/>
      <c r="V596" s="27"/>
      <c r="W596" s="27"/>
      <c r="X596" s="27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L597" s="29"/>
      <c r="M597" s="30"/>
      <c r="O597" s="27"/>
      <c r="P597" s="27"/>
      <c r="Q597" s="27"/>
      <c r="R597" s="27"/>
      <c r="S597" s="27"/>
      <c r="T597" s="27"/>
      <c r="U597" s="27"/>
      <c r="V597" s="27"/>
      <c r="W597" s="27"/>
      <c r="X597" s="27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L598" s="29"/>
      <c r="M598" s="30"/>
      <c r="O598" s="27"/>
      <c r="P598" s="27"/>
      <c r="Q598" s="27"/>
      <c r="R598" s="27"/>
      <c r="S598" s="27"/>
      <c r="T598" s="27"/>
      <c r="U598" s="27"/>
      <c r="V598" s="27"/>
      <c r="W598" s="27"/>
      <c r="X598" s="27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L599" s="29"/>
      <c r="M599" s="30"/>
      <c r="O599" s="27"/>
      <c r="P599" s="27"/>
      <c r="Q599" s="27"/>
      <c r="R599" s="27"/>
      <c r="S599" s="27"/>
      <c r="T599" s="27"/>
      <c r="U599" s="27"/>
      <c r="V599" s="27"/>
      <c r="W599" s="27"/>
      <c r="X599" s="27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L600" s="29"/>
      <c r="M600" s="30"/>
      <c r="O600" s="27"/>
      <c r="P600" s="27"/>
      <c r="Q600" s="27"/>
      <c r="R600" s="27"/>
      <c r="S600" s="27"/>
      <c r="T600" s="27"/>
      <c r="U600" s="27"/>
      <c r="V600" s="27"/>
      <c r="W600" s="27"/>
      <c r="X600" s="27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L601" s="29"/>
      <c r="M601" s="30"/>
      <c r="O601" s="27"/>
      <c r="P601" s="27"/>
      <c r="Q601" s="27"/>
      <c r="R601" s="27"/>
      <c r="S601" s="27"/>
      <c r="T601" s="27"/>
      <c r="U601" s="27"/>
      <c r="V601" s="27"/>
      <c r="W601" s="27"/>
      <c r="X601" s="27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L602" s="29"/>
      <c r="M602" s="30"/>
      <c r="O602" s="27"/>
      <c r="P602" s="27"/>
      <c r="Q602" s="27"/>
      <c r="R602" s="27"/>
      <c r="S602" s="27"/>
      <c r="T602" s="27"/>
      <c r="U602" s="27"/>
      <c r="V602" s="27"/>
      <c r="W602" s="27"/>
      <c r="X602" s="27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L603" s="29"/>
      <c r="M603" s="30"/>
      <c r="O603" s="27"/>
      <c r="P603" s="27"/>
      <c r="Q603" s="27"/>
      <c r="R603" s="27"/>
      <c r="S603" s="27"/>
      <c r="T603" s="27"/>
      <c r="U603" s="27"/>
      <c r="V603" s="27"/>
      <c r="W603" s="27"/>
      <c r="X603" s="27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L604" s="29"/>
      <c r="M604" s="30"/>
      <c r="O604" s="27"/>
      <c r="P604" s="27"/>
      <c r="Q604" s="27"/>
      <c r="R604" s="27"/>
      <c r="S604" s="27"/>
      <c r="T604" s="27"/>
      <c r="U604" s="27"/>
      <c r="V604" s="27"/>
      <c r="W604" s="27"/>
      <c r="X604" s="27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L605" s="29"/>
      <c r="M605" s="30"/>
      <c r="O605" s="27"/>
      <c r="P605" s="27"/>
      <c r="Q605" s="27"/>
      <c r="R605" s="27"/>
      <c r="S605" s="27"/>
      <c r="T605" s="27"/>
      <c r="U605" s="27"/>
      <c r="V605" s="27"/>
      <c r="W605" s="27"/>
      <c r="X605" s="27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L606" s="29"/>
      <c r="M606" s="30"/>
      <c r="O606" s="27"/>
      <c r="P606" s="27"/>
      <c r="Q606" s="27"/>
      <c r="R606" s="27"/>
      <c r="S606" s="27"/>
      <c r="T606" s="27"/>
      <c r="U606" s="27"/>
      <c r="V606" s="27"/>
      <c r="W606" s="27"/>
      <c r="X606" s="27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L607" s="29"/>
      <c r="M607" s="30"/>
      <c r="O607" s="27"/>
      <c r="P607" s="27"/>
      <c r="Q607" s="27"/>
      <c r="R607" s="27"/>
      <c r="S607" s="27"/>
      <c r="T607" s="27"/>
      <c r="U607" s="27"/>
      <c r="V607" s="27"/>
      <c r="W607" s="27"/>
      <c r="X607" s="27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L608" s="29"/>
      <c r="M608" s="30"/>
      <c r="O608" s="27"/>
      <c r="P608" s="27"/>
      <c r="Q608" s="27"/>
      <c r="R608" s="27"/>
      <c r="S608" s="27"/>
      <c r="T608" s="27"/>
      <c r="U608" s="27"/>
      <c r="V608" s="27"/>
      <c r="W608" s="27"/>
      <c r="X608" s="27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L609" s="29"/>
      <c r="M609" s="30"/>
      <c r="O609" s="27"/>
      <c r="P609" s="27"/>
      <c r="Q609" s="27"/>
      <c r="R609" s="27"/>
      <c r="S609" s="27"/>
      <c r="T609" s="27"/>
      <c r="U609" s="27"/>
      <c r="V609" s="27"/>
      <c r="W609" s="27"/>
      <c r="X609" s="27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L610" s="29"/>
      <c r="M610" s="30"/>
      <c r="O610" s="27"/>
      <c r="P610" s="27"/>
      <c r="Q610" s="27"/>
      <c r="R610" s="27"/>
      <c r="S610" s="27"/>
      <c r="T610" s="27"/>
      <c r="U610" s="27"/>
      <c r="V610" s="27"/>
      <c r="W610" s="27"/>
      <c r="X610" s="27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L611" s="29"/>
      <c r="M611" s="30"/>
      <c r="O611" s="27"/>
      <c r="P611" s="27"/>
      <c r="Q611" s="27"/>
      <c r="R611" s="27"/>
      <c r="S611" s="27"/>
      <c r="T611" s="27"/>
      <c r="U611" s="27"/>
      <c r="V611" s="27"/>
      <c r="W611" s="27"/>
      <c r="X611" s="27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L612" s="29"/>
      <c r="M612" s="30"/>
      <c r="O612" s="27"/>
      <c r="P612" s="27"/>
      <c r="Q612" s="27"/>
      <c r="R612" s="27"/>
      <c r="S612" s="27"/>
      <c r="T612" s="27"/>
      <c r="U612" s="27"/>
      <c r="V612" s="27"/>
      <c r="W612" s="27"/>
      <c r="X612" s="27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L613" s="29"/>
      <c r="M613" s="30"/>
      <c r="O613" s="27"/>
      <c r="P613" s="27"/>
      <c r="Q613" s="27"/>
      <c r="R613" s="27"/>
      <c r="S613" s="27"/>
      <c r="T613" s="27"/>
      <c r="U613" s="27"/>
      <c r="V613" s="27"/>
      <c r="W613" s="27"/>
      <c r="X613" s="27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L614" s="29"/>
      <c r="M614" s="30"/>
      <c r="O614" s="27"/>
      <c r="P614" s="27"/>
      <c r="Q614" s="27"/>
      <c r="R614" s="27"/>
      <c r="S614" s="27"/>
      <c r="T614" s="27"/>
      <c r="U614" s="27"/>
      <c r="V614" s="27"/>
      <c r="W614" s="27"/>
      <c r="X614" s="27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L615" s="29"/>
      <c r="M615" s="30"/>
      <c r="O615" s="27"/>
      <c r="P615" s="27"/>
      <c r="Q615" s="27"/>
      <c r="R615" s="27"/>
      <c r="S615" s="27"/>
      <c r="T615" s="27"/>
      <c r="U615" s="27"/>
      <c r="V615" s="27"/>
      <c r="W615" s="27"/>
      <c r="X615" s="27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L616" s="29"/>
      <c r="M616" s="30"/>
      <c r="O616" s="27"/>
      <c r="P616" s="27"/>
      <c r="Q616" s="27"/>
      <c r="R616" s="27"/>
      <c r="S616" s="27"/>
      <c r="T616" s="27"/>
      <c r="U616" s="27"/>
      <c r="V616" s="27"/>
      <c r="W616" s="27"/>
      <c r="X616" s="27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L617" s="29"/>
      <c r="M617" s="30"/>
      <c r="O617" s="27"/>
      <c r="P617" s="27"/>
      <c r="Q617" s="27"/>
      <c r="R617" s="27"/>
      <c r="S617" s="27"/>
      <c r="T617" s="27"/>
      <c r="U617" s="27"/>
      <c r="V617" s="27"/>
      <c r="W617" s="27"/>
      <c r="X617" s="27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L618" s="29"/>
      <c r="M618" s="30"/>
      <c r="O618" s="27"/>
      <c r="P618" s="27"/>
      <c r="Q618" s="27"/>
      <c r="R618" s="27"/>
      <c r="S618" s="27"/>
      <c r="T618" s="27"/>
      <c r="U618" s="27"/>
      <c r="V618" s="27"/>
      <c r="W618" s="27"/>
      <c r="X618" s="27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L619" s="29"/>
      <c r="M619" s="30"/>
      <c r="O619" s="27"/>
      <c r="P619" s="27"/>
      <c r="Q619" s="27"/>
      <c r="R619" s="27"/>
      <c r="S619" s="27"/>
      <c r="T619" s="27"/>
      <c r="U619" s="27"/>
      <c r="V619" s="27"/>
      <c r="W619" s="27"/>
      <c r="X619" s="27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L620" s="29"/>
      <c r="M620" s="30"/>
      <c r="O620" s="27"/>
      <c r="P620" s="27"/>
      <c r="Q620" s="27"/>
      <c r="R620" s="27"/>
      <c r="S620" s="27"/>
      <c r="T620" s="27"/>
      <c r="U620" s="27"/>
      <c r="V620" s="27"/>
      <c r="W620" s="27"/>
      <c r="X620" s="27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L621" s="29"/>
      <c r="M621" s="30"/>
      <c r="O621" s="27"/>
      <c r="P621" s="27"/>
      <c r="Q621" s="27"/>
      <c r="R621" s="27"/>
      <c r="S621" s="27"/>
      <c r="T621" s="27"/>
      <c r="U621" s="27"/>
      <c r="V621" s="27"/>
      <c r="W621" s="27"/>
      <c r="X621" s="27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L622" s="29"/>
      <c r="M622" s="30"/>
      <c r="O622" s="27"/>
      <c r="P622" s="27"/>
      <c r="Q622" s="27"/>
      <c r="R622" s="27"/>
      <c r="S622" s="27"/>
      <c r="T622" s="27"/>
      <c r="U622" s="27"/>
      <c r="V622" s="27"/>
      <c r="W622" s="27"/>
      <c r="X622" s="27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L623" s="29"/>
      <c r="M623" s="30"/>
      <c r="O623" s="27"/>
      <c r="P623" s="27"/>
      <c r="Q623" s="27"/>
      <c r="R623" s="27"/>
      <c r="S623" s="27"/>
      <c r="T623" s="27"/>
      <c r="U623" s="27"/>
      <c r="V623" s="27"/>
      <c r="W623" s="27"/>
      <c r="X623" s="27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L624" s="29"/>
      <c r="M624" s="30"/>
      <c r="O624" s="27"/>
      <c r="P624" s="27"/>
      <c r="Q624" s="27"/>
      <c r="R624" s="27"/>
      <c r="S624" s="27"/>
      <c r="T624" s="27"/>
      <c r="U624" s="27"/>
      <c r="V624" s="27"/>
      <c r="W624" s="27"/>
      <c r="X624" s="27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L625" s="29"/>
      <c r="M625" s="30"/>
      <c r="O625" s="27"/>
      <c r="P625" s="27"/>
      <c r="Q625" s="27"/>
      <c r="R625" s="27"/>
      <c r="S625" s="27"/>
      <c r="T625" s="27"/>
      <c r="U625" s="27"/>
      <c r="V625" s="27"/>
      <c r="W625" s="27"/>
      <c r="X625" s="27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L626" s="29"/>
      <c r="M626" s="30"/>
      <c r="O626" s="27"/>
      <c r="P626" s="27"/>
      <c r="Q626" s="27"/>
      <c r="R626" s="27"/>
      <c r="S626" s="27"/>
      <c r="T626" s="27"/>
      <c r="U626" s="27"/>
      <c r="V626" s="27"/>
      <c r="W626" s="27"/>
      <c r="X626" s="27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L627" s="29"/>
      <c r="M627" s="30"/>
      <c r="O627" s="27"/>
      <c r="P627" s="27"/>
      <c r="Q627" s="27"/>
      <c r="R627" s="27"/>
      <c r="S627" s="27"/>
      <c r="T627" s="27"/>
      <c r="U627" s="27"/>
      <c r="V627" s="27"/>
      <c r="W627" s="27"/>
      <c r="X627" s="27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L628" s="29"/>
      <c r="M628" s="30"/>
      <c r="O628" s="27"/>
      <c r="P628" s="27"/>
      <c r="Q628" s="27"/>
      <c r="R628" s="27"/>
      <c r="S628" s="27"/>
      <c r="T628" s="27"/>
      <c r="U628" s="27"/>
      <c r="V628" s="27"/>
      <c r="W628" s="27"/>
      <c r="X628" s="27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L629" s="29"/>
      <c r="M629" s="30"/>
      <c r="O629" s="27"/>
      <c r="P629" s="27"/>
      <c r="Q629" s="27"/>
      <c r="R629" s="27"/>
      <c r="S629" s="27"/>
      <c r="T629" s="27"/>
      <c r="U629" s="27"/>
      <c r="V629" s="27"/>
      <c r="W629" s="27"/>
      <c r="X629" s="27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L630" s="29"/>
      <c r="M630" s="30"/>
      <c r="O630" s="27"/>
      <c r="P630" s="27"/>
      <c r="Q630" s="27"/>
      <c r="R630" s="27"/>
      <c r="S630" s="27"/>
      <c r="T630" s="27"/>
      <c r="U630" s="27"/>
      <c r="V630" s="27"/>
      <c r="W630" s="27"/>
      <c r="X630" s="27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L631" s="29"/>
      <c r="M631" s="30"/>
      <c r="O631" s="27"/>
      <c r="P631" s="27"/>
      <c r="Q631" s="27"/>
      <c r="R631" s="27"/>
      <c r="S631" s="27"/>
      <c r="T631" s="27"/>
      <c r="U631" s="27"/>
      <c r="V631" s="27"/>
      <c r="W631" s="27"/>
      <c r="X631" s="27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L632" s="29"/>
      <c r="M632" s="30"/>
      <c r="O632" s="27"/>
      <c r="P632" s="27"/>
      <c r="Q632" s="27"/>
      <c r="R632" s="27"/>
      <c r="S632" s="27"/>
      <c r="T632" s="27"/>
      <c r="U632" s="27"/>
      <c r="V632" s="27"/>
      <c r="W632" s="27"/>
      <c r="X632" s="27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L633" s="29"/>
      <c r="M633" s="30"/>
      <c r="O633" s="27"/>
      <c r="P633" s="27"/>
      <c r="Q633" s="27"/>
      <c r="R633" s="27"/>
      <c r="S633" s="27"/>
      <c r="T633" s="27"/>
      <c r="U633" s="27"/>
      <c r="V633" s="27"/>
      <c r="W633" s="27"/>
      <c r="X633" s="27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L634" s="29"/>
      <c r="M634" s="30"/>
      <c r="O634" s="27"/>
      <c r="P634" s="27"/>
      <c r="Q634" s="27"/>
      <c r="R634" s="27"/>
      <c r="S634" s="27"/>
      <c r="T634" s="27"/>
      <c r="U634" s="27"/>
      <c r="V634" s="27"/>
      <c r="W634" s="27"/>
      <c r="X634" s="27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L635" s="29"/>
      <c r="M635" s="30"/>
      <c r="O635" s="27"/>
      <c r="P635" s="27"/>
      <c r="Q635" s="27"/>
      <c r="R635" s="27"/>
      <c r="S635" s="27"/>
      <c r="T635" s="27"/>
      <c r="U635" s="27"/>
      <c r="V635" s="27"/>
      <c r="W635" s="27"/>
      <c r="X635" s="27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L636" s="29"/>
      <c r="M636" s="30"/>
      <c r="O636" s="27"/>
      <c r="P636" s="27"/>
      <c r="Q636" s="27"/>
      <c r="R636" s="27"/>
      <c r="S636" s="27"/>
      <c r="T636" s="27"/>
      <c r="U636" s="27"/>
      <c r="V636" s="27"/>
      <c r="W636" s="27"/>
      <c r="X636" s="27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L637" s="29"/>
      <c r="M637" s="30"/>
      <c r="O637" s="27"/>
      <c r="P637" s="27"/>
      <c r="Q637" s="27"/>
      <c r="R637" s="27"/>
      <c r="S637" s="27"/>
      <c r="T637" s="27"/>
      <c r="U637" s="27"/>
      <c r="V637" s="27"/>
      <c r="W637" s="27"/>
      <c r="X637" s="27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L638" s="29"/>
      <c r="M638" s="30"/>
      <c r="O638" s="27"/>
      <c r="P638" s="27"/>
      <c r="Q638" s="27"/>
      <c r="R638" s="27"/>
      <c r="S638" s="27"/>
      <c r="T638" s="27"/>
      <c r="U638" s="27"/>
      <c r="V638" s="27"/>
      <c r="W638" s="27"/>
      <c r="X638" s="27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L639" s="29"/>
      <c r="M639" s="30"/>
      <c r="O639" s="27"/>
      <c r="P639" s="27"/>
      <c r="Q639" s="27"/>
      <c r="R639" s="27"/>
      <c r="S639" s="27"/>
      <c r="T639" s="27"/>
      <c r="U639" s="27"/>
      <c r="V639" s="27"/>
      <c r="W639" s="27"/>
      <c r="X639" s="27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L640" s="29"/>
      <c r="M640" s="30"/>
      <c r="O640" s="27"/>
      <c r="P640" s="27"/>
      <c r="Q640" s="27"/>
      <c r="R640" s="27"/>
      <c r="S640" s="27"/>
      <c r="T640" s="27"/>
      <c r="U640" s="27"/>
      <c r="V640" s="27"/>
      <c r="W640" s="27"/>
      <c r="X640" s="27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L641" s="29"/>
      <c r="M641" s="30"/>
      <c r="O641" s="27"/>
      <c r="P641" s="27"/>
      <c r="Q641" s="27"/>
      <c r="R641" s="27"/>
      <c r="S641" s="27"/>
      <c r="T641" s="27"/>
      <c r="U641" s="27"/>
      <c r="V641" s="27"/>
      <c r="W641" s="27"/>
      <c r="X641" s="27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L642" s="29"/>
      <c r="M642" s="30"/>
      <c r="O642" s="27"/>
      <c r="P642" s="27"/>
      <c r="Q642" s="27"/>
      <c r="R642" s="27"/>
      <c r="S642" s="27"/>
      <c r="T642" s="27"/>
      <c r="U642" s="27"/>
      <c r="V642" s="27"/>
      <c r="W642" s="27"/>
      <c r="X642" s="27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L643" s="29"/>
      <c r="M643" s="30"/>
      <c r="O643" s="27"/>
      <c r="P643" s="27"/>
      <c r="Q643" s="27"/>
      <c r="R643" s="27"/>
      <c r="S643" s="27"/>
      <c r="T643" s="27"/>
      <c r="U643" s="27"/>
      <c r="V643" s="27"/>
      <c r="W643" s="27"/>
      <c r="X643" s="27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L644" s="29"/>
      <c r="M644" s="30"/>
      <c r="O644" s="27"/>
      <c r="P644" s="27"/>
      <c r="Q644" s="27"/>
      <c r="R644" s="27"/>
      <c r="S644" s="27"/>
      <c r="T644" s="27"/>
      <c r="U644" s="27"/>
      <c r="V644" s="27"/>
      <c r="W644" s="27"/>
      <c r="X644" s="27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L645" s="29"/>
      <c r="M645" s="30"/>
      <c r="O645" s="27"/>
      <c r="P645" s="27"/>
      <c r="Q645" s="27"/>
      <c r="R645" s="27"/>
      <c r="S645" s="27"/>
      <c r="T645" s="27"/>
      <c r="U645" s="27"/>
      <c r="V645" s="27"/>
      <c r="W645" s="27"/>
      <c r="X645" s="27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L646" s="29"/>
      <c r="M646" s="30"/>
      <c r="O646" s="27"/>
      <c r="P646" s="27"/>
      <c r="Q646" s="27"/>
      <c r="R646" s="27"/>
      <c r="S646" s="27"/>
      <c r="T646" s="27"/>
      <c r="U646" s="27"/>
      <c r="V646" s="27"/>
      <c r="W646" s="27"/>
      <c r="X646" s="27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L647" s="29"/>
      <c r="M647" s="30"/>
      <c r="O647" s="27"/>
      <c r="P647" s="27"/>
      <c r="Q647" s="27"/>
      <c r="R647" s="27"/>
      <c r="S647" s="27"/>
      <c r="T647" s="27"/>
      <c r="U647" s="27"/>
      <c r="V647" s="27"/>
      <c r="W647" s="27"/>
      <c r="X647" s="27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L648" s="29"/>
      <c r="M648" s="30"/>
      <c r="O648" s="27"/>
      <c r="P648" s="27"/>
      <c r="Q648" s="27"/>
      <c r="R648" s="27"/>
      <c r="S648" s="27"/>
      <c r="T648" s="27"/>
      <c r="U648" s="27"/>
      <c r="V648" s="27"/>
      <c r="W648" s="27"/>
      <c r="X648" s="27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L649" s="29"/>
      <c r="M649" s="30"/>
      <c r="O649" s="27"/>
      <c r="P649" s="27"/>
      <c r="Q649" s="27"/>
      <c r="R649" s="27"/>
      <c r="S649" s="27"/>
      <c r="T649" s="27"/>
      <c r="U649" s="27"/>
      <c r="V649" s="27"/>
      <c r="W649" s="27"/>
      <c r="X649" s="27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L650" s="29"/>
      <c r="M650" s="30"/>
      <c r="O650" s="27"/>
      <c r="P650" s="27"/>
      <c r="Q650" s="27"/>
      <c r="R650" s="27"/>
      <c r="S650" s="27"/>
      <c r="T650" s="27"/>
      <c r="U650" s="27"/>
      <c r="V650" s="27"/>
      <c r="W650" s="27"/>
      <c r="X650" s="27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L651" s="29"/>
      <c r="M651" s="30"/>
      <c r="O651" s="27"/>
      <c r="P651" s="27"/>
      <c r="Q651" s="27"/>
      <c r="R651" s="27"/>
      <c r="S651" s="27"/>
      <c r="T651" s="27"/>
      <c r="U651" s="27"/>
      <c r="V651" s="27"/>
      <c r="W651" s="27"/>
      <c r="X651" s="27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L652" s="29"/>
      <c r="M652" s="30"/>
      <c r="O652" s="27"/>
      <c r="P652" s="27"/>
      <c r="Q652" s="27"/>
      <c r="R652" s="27"/>
      <c r="S652" s="27"/>
      <c r="T652" s="27"/>
      <c r="U652" s="27"/>
      <c r="V652" s="27"/>
      <c r="W652" s="27"/>
      <c r="X652" s="27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L653" s="29"/>
      <c r="M653" s="30"/>
      <c r="O653" s="27"/>
      <c r="P653" s="27"/>
      <c r="Q653" s="27"/>
      <c r="R653" s="27"/>
      <c r="S653" s="27"/>
      <c r="T653" s="27"/>
      <c r="U653" s="27"/>
      <c r="V653" s="27"/>
      <c r="W653" s="27"/>
      <c r="X653" s="27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L654" s="29"/>
      <c r="M654" s="30"/>
      <c r="O654" s="27"/>
      <c r="P654" s="27"/>
      <c r="Q654" s="27"/>
      <c r="R654" s="27"/>
      <c r="S654" s="27"/>
      <c r="T654" s="27"/>
      <c r="U654" s="27"/>
      <c r="V654" s="27"/>
      <c r="W654" s="27"/>
      <c r="X654" s="27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L655" s="29"/>
      <c r="M655" s="30"/>
      <c r="O655" s="27"/>
      <c r="P655" s="27"/>
      <c r="Q655" s="27"/>
      <c r="R655" s="27"/>
      <c r="S655" s="27"/>
      <c r="T655" s="27"/>
      <c r="U655" s="27"/>
      <c r="V655" s="27"/>
      <c r="W655" s="27"/>
      <c r="X655" s="27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L656" s="29"/>
      <c r="M656" s="30"/>
      <c r="O656" s="27"/>
      <c r="P656" s="27"/>
      <c r="Q656" s="27"/>
      <c r="R656" s="27"/>
      <c r="S656" s="27"/>
      <c r="T656" s="27"/>
      <c r="U656" s="27"/>
      <c r="V656" s="27"/>
      <c r="W656" s="27"/>
      <c r="X656" s="27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L657" s="29"/>
      <c r="M657" s="30"/>
      <c r="O657" s="27"/>
      <c r="P657" s="27"/>
      <c r="Q657" s="27"/>
      <c r="R657" s="27"/>
      <c r="S657" s="27"/>
      <c r="T657" s="27"/>
      <c r="U657" s="27"/>
      <c r="V657" s="27"/>
      <c r="W657" s="27"/>
      <c r="X657" s="27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L658" s="29"/>
      <c r="M658" s="30"/>
      <c r="O658" s="27"/>
      <c r="P658" s="27"/>
      <c r="Q658" s="27"/>
      <c r="R658" s="27"/>
      <c r="S658" s="27"/>
      <c r="T658" s="27"/>
      <c r="U658" s="27"/>
      <c r="V658" s="27"/>
      <c r="W658" s="27"/>
      <c r="X658" s="27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L659" s="29"/>
      <c r="M659" s="30"/>
      <c r="O659" s="27"/>
      <c r="P659" s="27"/>
      <c r="Q659" s="27"/>
      <c r="R659" s="27"/>
      <c r="S659" s="27"/>
      <c r="T659" s="27"/>
      <c r="U659" s="27"/>
      <c r="V659" s="27"/>
      <c r="W659" s="27"/>
      <c r="X659" s="27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L660" s="29"/>
      <c r="M660" s="30"/>
      <c r="O660" s="27"/>
      <c r="P660" s="27"/>
      <c r="Q660" s="27"/>
      <c r="R660" s="27"/>
      <c r="S660" s="27"/>
      <c r="T660" s="27"/>
      <c r="U660" s="27"/>
      <c r="V660" s="27"/>
      <c r="W660" s="27"/>
      <c r="X660" s="27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L661" s="29"/>
      <c r="M661" s="30"/>
      <c r="O661" s="27"/>
      <c r="P661" s="27"/>
      <c r="Q661" s="27"/>
      <c r="R661" s="27"/>
      <c r="S661" s="27"/>
      <c r="T661" s="27"/>
      <c r="U661" s="27"/>
      <c r="V661" s="27"/>
      <c r="W661" s="27"/>
      <c r="X661" s="27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L662" s="29"/>
      <c r="M662" s="30"/>
      <c r="O662" s="27"/>
      <c r="P662" s="27"/>
      <c r="Q662" s="27"/>
      <c r="R662" s="27"/>
      <c r="S662" s="27"/>
      <c r="T662" s="27"/>
      <c r="U662" s="27"/>
      <c r="V662" s="27"/>
      <c r="W662" s="27"/>
      <c r="X662" s="27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L663" s="29"/>
      <c r="M663" s="30"/>
      <c r="O663" s="27"/>
      <c r="P663" s="27"/>
      <c r="Q663" s="27"/>
      <c r="R663" s="27"/>
      <c r="S663" s="27"/>
      <c r="T663" s="27"/>
      <c r="U663" s="27"/>
      <c r="V663" s="27"/>
      <c r="W663" s="27"/>
      <c r="X663" s="27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L664" s="29"/>
      <c r="M664" s="30"/>
      <c r="O664" s="27"/>
      <c r="P664" s="27"/>
      <c r="Q664" s="27"/>
      <c r="R664" s="27"/>
      <c r="S664" s="27"/>
      <c r="T664" s="27"/>
      <c r="U664" s="27"/>
      <c r="V664" s="27"/>
      <c r="W664" s="27"/>
      <c r="X664" s="27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L665" s="29"/>
      <c r="M665" s="30"/>
      <c r="O665" s="27"/>
      <c r="P665" s="27"/>
      <c r="Q665" s="27"/>
      <c r="R665" s="27"/>
      <c r="S665" s="27"/>
      <c r="T665" s="27"/>
      <c r="U665" s="27"/>
      <c r="V665" s="27"/>
      <c r="W665" s="27"/>
      <c r="X665" s="27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L666" s="29"/>
      <c r="M666" s="30"/>
      <c r="O666" s="27"/>
      <c r="P666" s="27"/>
      <c r="Q666" s="27"/>
      <c r="R666" s="27"/>
      <c r="S666" s="27"/>
      <c r="T666" s="27"/>
      <c r="U666" s="27"/>
      <c r="V666" s="27"/>
      <c r="W666" s="27"/>
      <c r="X666" s="27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L667" s="29"/>
      <c r="M667" s="30"/>
      <c r="O667" s="27"/>
      <c r="P667" s="27"/>
      <c r="Q667" s="27"/>
      <c r="R667" s="27"/>
      <c r="S667" s="27"/>
      <c r="T667" s="27"/>
      <c r="U667" s="27"/>
      <c r="V667" s="27"/>
      <c r="W667" s="27"/>
      <c r="X667" s="27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L668" s="29"/>
      <c r="M668" s="30"/>
      <c r="O668" s="27"/>
      <c r="P668" s="27"/>
      <c r="Q668" s="27"/>
      <c r="R668" s="27"/>
      <c r="S668" s="27"/>
      <c r="T668" s="27"/>
      <c r="U668" s="27"/>
      <c r="V668" s="27"/>
      <c r="W668" s="27"/>
      <c r="X668" s="27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L669" s="29"/>
      <c r="M669" s="30"/>
      <c r="O669" s="27"/>
      <c r="P669" s="27"/>
      <c r="Q669" s="27"/>
      <c r="R669" s="27"/>
      <c r="S669" s="27"/>
      <c r="T669" s="27"/>
      <c r="U669" s="27"/>
      <c r="V669" s="27"/>
      <c r="W669" s="27"/>
      <c r="X669" s="27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L670" s="29"/>
      <c r="M670" s="30"/>
      <c r="O670" s="27"/>
      <c r="P670" s="27"/>
      <c r="Q670" s="27"/>
      <c r="R670" s="27"/>
      <c r="S670" s="27"/>
      <c r="T670" s="27"/>
      <c r="U670" s="27"/>
      <c r="V670" s="27"/>
      <c r="W670" s="27"/>
      <c r="X670" s="27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L671" s="29"/>
      <c r="M671" s="30"/>
      <c r="O671" s="27"/>
      <c r="P671" s="27"/>
      <c r="Q671" s="27"/>
      <c r="R671" s="27"/>
      <c r="S671" s="27"/>
      <c r="T671" s="27"/>
      <c r="U671" s="27"/>
      <c r="V671" s="27"/>
      <c r="W671" s="27"/>
      <c r="X671" s="27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L672" s="29"/>
      <c r="M672" s="30"/>
      <c r="O672" s="27"/>
      <c r="P672" s="27"/>
      <c r="Q672" s="27"/>
      <c r="R672" s="27"/>
      <c r="S672" s="27"/>
      <c r="T672" s="27"/>
      <c r="U672" s="27"/>
      <c r="V672" s="27"/>
      <c r="W672" s="27"/>
      <c r="X672" s="27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L673" s="29"/>
      <c r="M673" s="30"/>
      <c r="O673" s="27"/>
      <c r="P673" s="27"/>
      <c r="Q673" s="27"/>
      <c r="R673" s="27"/>
      <c r="S673" s="27"/>
      <c r="T673" s="27"/>
      <c r="U673" s="27"/>
      <c r="V673" s="27"/>
      <c r="W673" s="27"/>
      <c r="X673" s="27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L674" s="29"/>
      <c r="M674" s="30"/>
      <c r="O674" s="27"/>
      <c r="P674" s="27"/>
      <c r="Q674" s="27"/>
      <c r="R674" s="27"/>
      <c r="S674" s="27"/>
      <c r="T674" s="27"/>
      <c r="U674" s="27"/>
      <c r="V674" s="27"/>
      <c r="W674" s="27"/>
      <c r="X674" s="27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L675" s="29"/>
      <c r="M675" s="30"/>
      <c r="O675" s="27"/>
      <c r="P675" s="27"/>
      <c r="Q675" s="27"/>
      <c r="R675" s="27"/>
      <c r="S675" s="27"/>
      <c r="T675" s="27"/>
      <c r="U675" s="27"/>
      <c r="V675" s="27"/>
      <c r="W675" s="27"/>
      <c r="X675" s="27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L676" s="29"/>
      <c r="M676" s="30"/>
      <c r="O676" s="27"/>
      <c r="P676" s="27"/>
      <c r="Q676" s="27"/>
      <c r="R676" s="27"/>
      <c r="S676" s="27"/>
      <c r="T676" s="27"/>
      <c r="U676" s="27"/>
      <c r="V676" s="27"/>
      <c r="W676" s="27"/>
      <c r="X676" s="27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L677" s="29"/>
      <c r="M677" s="30"/>
      <c r="O677" s="27"/>
      <c r="P677" s="27"/>
      <c r="Q677" s="27"/>
      <c r="R677" s="27"/>
      <c r="S677" s="27"/>
      <c r="T677" s="27"/>
      <c r="U677" s="27"/>
      <c r="V677" s="27"/>
      <c r="W677" s="27"/>
      <c r="X677" s="27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L678" s="29"/>
      <c r="M678" s="30"/>
      <c r="O678" s="27"/>
      <c r="P678" s="27"/>
      <c r="Q678" s="27"/>
      <c r="R678" s="27"/>
      <c r="S678" s="27"/>
      <c r="T678" s="27"/>
      <c r="U678" s="27"/>
      <c r="V678" s="27"/>
      <c r="W678" s="27"/>
      <c r="X678" s="27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L679" s="29"/>
      <c r="M679" s="30"/>
      <c r="O679" s="27"/>
      <c r="P679" s="27"/>
      <c r="Q679" s="27"/>
      <c r="R679" s="27"/>
      <c r="S679" s="27"/>
      <c r="T679" s="27"/>
      <c r="U679" s="27"/>
      <c r="V679" s="27"/>
      <c r="W679" s="27"/>
      <c r="X679" s="27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L680" s="29"/>
      <c r="M680" s="30"/>
      <c r="O680" s="27"/>
      <c r="P680" s="27"/>
      <c r="Q680" s="27"/>
      <c r="R680" s="27"/>
      <c r="S680" s="27"/>
      <c r="T680" s="27"/>
      <c r="U680" s="27"/>
      <c r="V680" s="27"/>
      <c r="W680" s="27"/>
      <c r="X680" s="27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L681" s="29"/>
      <c r="M681" s="30"/>
      <c r="O681" s="27"/>
      <c r="P681" s="27"/>
      <c r="Q681" s="27"/>
      <c r="R681" s="27"/>
      <c r="S681" s="27"/>
      <c r="T681" s="27"/>
      <c r="U681" s="27"/>
      <c r="V681" s="27"/>
      <c r="W681" s="27"/>
      <c r="X681" s="27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L682" s="29"/>
      <c r="M682" s="30"/>
      <c r="O682" s="27"/>
      <c r="P682" s="27"/>
      <c r="Q682" s="27"/>
      <c r="R682" s="27"/>
      <c r="S682" s="27"/>
      <c r="T682" s="27"/>
      <c r="U682" s="27"/>
      <c r="V682" s="27"/>
      <c r="W682" s="27"/>
      <c r="X682" s="27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L683" s="29"/>
      <c r="M683" s="30"/>
      <c r="O683" s="27"/>
      <c r="P683" s="27"/>
      <c r="Q683" s="27"/>
      <c r="R683" s="27"/>
      <c r="S683" s="27"/>
      <c r="T683" s="27"/>
      <c r="U683" s="27"/>
      <c r="V683" s="27"/>
      <c r="W683" s="27"/>
      <c r="X683" s="27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L684" s="29"/>
      <c r="M684" s="30"/>
      <c r="O684" s="27"/>
      <c r="P684" s="27"/>
      <c r="Q684" s="27"/>
      <c r="R684" s="27"/>
      <c r="S684" s="27"/>
      <c r="T684" s="27"/>
      <c r="U684" s="27"/>
      <c r="V684" s="27"/>
      <c r="W684" s="27"/>
      <c r="X684" s="27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L685" s="29"/>
      <c r="M685" s="30"/>
      <c r="O685" s="27"/>
      <c r="P685" s="27"/>
      <c r="Q685" s="27"/>
      <c r="R685" s="27"/>
      <c r="S685" s="27"/>
      <c r="T685" s="27"/>
      <c r="U685" s="27"/>
      <c r="V685" s="27"/>
      <c r="W685" s="27"/>
      <c r="X685" s="27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L686" s="29"/>
      <c r="M686" s="30"/>
      <c r="O686" s="27"/>
      <c r="P686" s="27"/>
      <c r="Q686" s="27"/>
      <c r="R686" s="27"/>
      <c r="S686" s="27"/>
      <c r="T686" s="27"/>
      <c r="U686" s="27"/>
      <c r="V686" s="27"/>
      <c r="W686" s="27"/>
      <c r="X686" s="27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L687" s="29"/>
      <c r="M687" s="30"/>
      <c r="O687" s="27"/>
      <c r="P687" s="27"/>
      <c r="Q687" s="27"/>
      <c r="R687" s="27"/>
      <c r="S687" s="27"/>
      <c r="T687" s="27"/>
      <c r="U687" s="27"/>
      <c r="V687" s="27"/>
      <c r="W687" s="27"/>
      <c r="X687" s="27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L688" s="29"/>
      <c r="M688" s="30"/>
      <c r="O688" s="27"/>
      <c r="P688" s="27"/>
      <c r="Q688" s="27"/>
      <c r="R688" s="27"/>
      <c r="S688" s="27"/>
      <c r="T688" s="27"/>
      <c r="U688" s="27"/>
      <c r="V688" s="27"/>
      <c r="W688" s="27"/>
      <c r="X688" s="27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L689" s="29"/>
      <c r="M689" s="30"/>
      <c r="O689" s="27"/>
      <c r="P689" s="27"/>
      <c r="Q689" s="27"/>
      <c r="R689" s="27"/>
      <c r="S689" s="27"/>
      <c r="T689" s="27"/>
      <c r="U689" s="27"/>
      <c r="V689" s="27"/>
      <c r="W689" s="27"/>
      <c r="X689" s="27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L690" s="29"/>
      <c r="M690" s="30"/>
      <c r="O690" s="27"/>
      <c r="P690" s="27"/>
      <c r="Q690" s="27"/>
      <c r="R690" s="27"/>
      <c r="S690" s="27"/>
      <c r="T690" s="27"/>
      <c r="U690" s="27"/>
      <c r="V690" s="27"/>
      <c r="W690" s="27"/>
      <c r="X690" s="27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L691" s="29"/>
      <c r="M691" s="30"/>
      <c r="O691" s="27"/>
      <c r="P691" s="27"/>
      <c r="Q691" s="27"/>
      <c r="R691" s="27"/>
      <c r="S691" s="27"/>
      <c r="T691" s="27"/>
      <c r="U691" s="27"/>
      <c r="V691" s="27"/>
      <c r="W691" s="27"/>
      <c r="X691" s="27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L692" s="29"/>
      <c r="M692" s="30"/>
      <c r="O692" s="27"/>
      <c r="P692" s="27"/>
      <c r="Q692" s="27"/>
      <c r="R692" s="27"/>
      <c r="S692" s="27"/>
      <c r="T692" s="27"/>
      <c r="U692" s="27"/>
      <c r="V692" s="27"/>
      <c r="W692" s="27"/>
      <c r="X692" s="27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L693" s="29"/>
      <c r="M693" s="30"/>
      <c r="O693" s="27"/>
      <c r="P693" s="27"/>
      <c r="Q693" s="27"/>
      <c r="R693" s="27"/>
      <c r="S693" s="27"/>
      <c r="T693" s="27"/>
      <c r="U693" s="27"/>
      <c r="V693" s="27"/>
      <c r="W693" s="27"/>
      <c r="X693" s="27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L694" s="29"/>
      <c r="M694" s="30"/>
      <c r="O694" s="27"/>
      <c r="P694" s="27"/>
      <c r="Q694" s="27"/>
      <c r="R694" s="27"/>
      <c r="S694" s="27"/>
      <c r="T694" s="27"/>
      <c r="U694" s="27"/>
      <c r="V694" s="27"/>
      <c r="W694" s="27"/>
      <c r="X694" s="27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L695" s="29"/>
      <c r="M695" s="30"/>
      <c r="O695" s="27"/>
      <c r="P695" s="27"/>
      <c r="Q695" s="27"/>
      <c r="R695" s="27"/>
      <c r="S695" s="27"/>
      <c r="T695" s="27"/>
      <c r="U695" s="27"/>
      <c r="V695" s="27"/>
      <c r="W695" s="27"/>
      <c r="X695" s="27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L696" s="29"/>
      <c r="M696" s="30"/>
      <c r="O696" s="27"/>
      <c r="P696" s="27"/>
      <c r="Q696" s="27"/>
      <c r="R696" s="27"/>
      <c r="S696" s="27"/>
      <c r="T696" s="27"/>
      <c r="U696" s="27"/>
      <c r="V696" s="27"/>
      <c r="W696" s="27"/>
      <c r="X696" s="27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L697" s="29"/>
      <c r="M697" s="30"/>
      <c r="O697" s="27"/>
      <c r="P697" s="27"/>
      <c r="Q697" s="27"/>
      <c r="R697" s="27"/>
      <c r="S697" s="27"/>
      <c r="T697" s="27"/>
      <c r="U697" s="27"/>
      <c r="V697" s="27"/>
      <c r="W697" s="27"/>
      <c r="X697" s="27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L698" s="29"/>
      <c r="M698" s="30"/>
      <c r="O698" s="27"/>
      <c r="P698" s="27"/>
      <c r="Q698" s="27"/>
      <c r="R698" s="27"/>
      <c r="S698" s="27"/>
      <c r="T698" s="27"/>
      <c r="U698" s="27"/>
      <c r="V698" s="27"/>
      <c r="W698" s="27"/>
      <c r="X698" s="27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L699" s="29"/>
      <c r="M699" s="30"/>
      <c r="O699" s="27"/>
      <c r="P699" s="27"/>
      <c r="Q699" s="27"/>
      <c r="R699" s="27"/>
      <c r="S699" s="27"/>
      <c r="T699" s="27"/>
      <c r="U699" s="27"/>
      <c r="V699" s="27"/>
      <c r="W699" s="27"/>
      <c r="X699" s="27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L700" s="29"/>
      <c r="M700" s="30"/>
      <c r="O700" s="27"/>
      <c r="P700" s="27"/>
      <c r="Q700" s="27"/>
      <c r="R700" s="27"/>
      <c r="S700" s="27"/>
      <c r="T700" s="27"/>
      <c r="U700" s="27"/>
      <c r="V700" s="27"/>
      <c r="W700" s="27"/>
      <c r="X700" s="27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L701" s="29"/>
      <c r="M701" s="30"/>
      <c r="O701" s="27"/>
      <c r="P701" s="27"/>
      <c r="Q701" s="27"/>
      <c r="R701" s="27"/>
      <c r="S701" s="27"/>
      <c r="T701" s="27"/>
      <c r="U701" s="27"/>
      <c r="V701" s="27"/>
      <c r="W701" s="27"/>
      <c r="X701" s="27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L702" s="29"/>
      <c r="M702" s="30"/>
      <c r="O702" s="27"/>
      <c r="P702" s="27"/>
      <c r="Q702" s="27"/>
      <c r="R702" s="27"/>
      <c r="S702" s="27"/>
      <c r="T702" s="27"/>
      <c r="U702" s="27"/>
      <c r="V702" s="27"/>
      <c r="W702" s="27"/>
      <c r="X702" s="27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L703" s="29"/>
      <c r="M703" s="30"/>
      <c r="O703" s="27"/>
      <c r="P703" s="27"/>
      <c r="Q703" s="27"/>
      <c r="R703" s="27"/>
      <c r="S703" s="27"/>
      <c r="T703" s="27"/>
      <c r="U703" s="27"/>
      <c r="V703" s="27"/>
      <c r="W703" s="27"/>
      <c r="X703" s="27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L704" s="29"/>
      <c r="M704" s="30"/>
      <c r="O704" s="27"/>
      <c r="P704" s="27"/>
      <c r="Q704" s="27"/>
      <c r="R704" s="27"/>
      <c r="S704" s="27"/>
      <c r="T704" s="27"/>
      <c r="U704" s="27"/>
      <c r="V704" s="27"/>
      <c r="W704" s="27"/>
      <c r="X704" s="27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L705" s="29"/>
      <c r="M705" s="30"/>
      <c r="O705" s="27"/>
      <c r="P705" s="27"/>
      <c r="Q705" s="27"/>
      <c r="R705" s="27"/>
      <c r="S705" s="27"/>
      <c r="T705" s="27"/>
      <c r="U705" s="27"/>
      <c r="V705" s="27"/>
      <c r="W705" s="27"/>
      <c r="X705" s="27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L706" s="29"/>
      <c r="M706" s="30"/>
      <c r="O706" s="27"/>
      <c r="P706" s="27"/>
      <c r="Q706" s="27"/>
      <c r="R706" s="27"/>
      <c r="S706" s="27"/>
      <c r="T706" s="27"/>
      <c r="U706" s="27"/>
      <c r="V706" s="27"/>
      <c r="W706" s="27"/>
      <c r="X706" s="27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L707" s="29"/>
      <c r="M707" s="30"/>
      <c r="O707" s="27"/>
      <c r="P707" s="27"/>
      <c r="Q707" s="27"/>
      <c r="R707" s="27"/>
      <c r="S707" s="27"/>
      <c r="T707" s="27"/>
      <c r="U707" s="27"/>
      <c r="V707" s="27"/>
      <c r="W707" s="27"/>
      <c r="X707" s="27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L708" s="29"/>
      <c r="M708" s="30"/>
      <c r="O708" s="27"/>
      <c r="P708" s="27"/>
      <c r="Q708" s="27"/>
      <c r="R708" s="27"/>
      <c r="S708" s="27"/>
      <c r="T708" s="27"/>
      <c r="U708" s="27"/>
      <c r="V708" s="27"/>
      <c r="W708" s="27"/>
      <c r="X708" s="27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L709" s="29"/>
      <c r="M709" s="30"/>
      <c r="O709" s="27"/>
      <c r="P709" s="27"/>
      <c r="Q709" s="27"/>
      <c r="R709" s="27"/>
      <c r="S709" s="27"/>
      <c r="T709" s="27"/>
      <c r="U709" s="27"/>
      <c r="V709" s="27"/>
      <c r="W709" s="27"/>
      <c r="X709" s="27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L710" s="29"/>
      <c r="M710" s="30"/>
      <c r="O710" s="27"/>
      <c r="P710" s="27"/>
      <c r="Q710" s="27"/>
      <c r="R710" s="27"/>
      <c r="S710" s="27"/>
      <c r="T710" s="27"/>
      <c r="U710" s="27"/>
      <c r="V710" s="27"/>
      <c r="W710" s="27"/>
      <c r="X710" s="27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L711" s="29"/>
      <c r="M711" s="30"/>
      <c r="O711" s="27"/>
      <c r="P711" s="27"/>
      <c r="Q711" s="27"/>
      <c r="R711" s="27"/>
      <c r="S711" s="27"/>
      <c r="T711" s="27"/>
      <c r="U711" s="27"/>
      <c r="V711" s="27"/>
      <c r="W711" s="27"/>
      <c r="X711" s="27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L712" s="29"/>
      <c r="M712" s="30"/>
      <c r="O712" s="27"/>
      <c r="P712" s="27"/>
      <c r="Q712" s="27"/>
      <c r="R712" s="27"/>
      <c r="S712" s="27"/>
      <c r="T712" s="27"/>
      <c r="U712" s="27"/>
      <c r="V712" s="27"/>
      <c r="W712" s="27"/>
      <c r="X712" s="27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L713" s="29"/>
      <c r="M713" s="30"/>
      <c r="O713" s="27"/>
      <c r="P713" s="27"/>
      <c r="Q713" s="27"/>
      <c r="R713" s="27"/>
      <c r="S713" s="27"/>
      <c r="T713" s="27"/>
      <c r="U713" s="27"/>
      <c r="V713" s="27"/>
      <c r="W713" s="27"/>
      <c r="X713" s="27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L714" s="29"/>
      <c r="M714" s="30"/>
      <c r="O714" s="27"/>
      <c r="P714" s="27"/>
      <c r="Q714" s="27"/>
      <c r="R714" s="27"/>
      <c r="S714" s="27"/>
      <c r="T714" s="27"/>
      <c r="U714" s="27"/>
      <c r="V714" s="27"/>
      <c r="W714" s="27"/>
      <c r="X714" s="27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L715" s="29"/>
      <c r="M715" s="30"/>
      <c r="O715" s="27"/>
      <c r="P715" s="27"/>
      <c r="Q715" s="27"/>
      <c r="R715" s="27"/>
      <c r="S715" s="27"/>
      <c r="T715" s="27"/>
      <c r="U715" s="27"/>
      <c r="V715" s="27"/>
      <c r="W715" s="27"/>
      <c r="X715" s="27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L716" s="29"/>
      <c r="M716" s="30"/>
      <c r="O716" s="27"/>
      <c r="P716" s="27"/>
      <c r="Q716" s="27"/>
      <c r="R716" s="27"/>
      <c r="S716" s="27"/>
      <c r="T716" s="27"/>
      <c r="U716" s="27"/>
      <c r="V716" s="27"/>
      <c r="W716" s="27"/>
      <c r="X716" s="27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L717" s="29"/>
      <c r="M717" s="30"/>
      <c r="O717" s="27"/>
      <c r="P717" s="27"/>
      <c r="Q717" s="27"/>
      <c r="R717" s="27"/>
      <c r="S717" s="27"/>
      <c r="T717" s="27"/>
      <c r="U717" s="27"/>
      <c r="V717" s="27"/>
      <c r="W717" s="27"/>
      <c r="X717" s="27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L718" s="29"/>
      <c r="M718" s="30"/>
      <c r="O718" s="27"/>
      <c r="P718" s="27"/>
      <c r="Q718" s="27"/>
      <c r="R718" s="27"/>
      <c r="S718" s="27"/>
      <c r="T718" s="27"/>
      <c r="U718" s="27"/>
      <c r="V718" s="27"/>
      <c r="W718" s="27"/>
      <c r="X718" s="27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L719" s="29"/>
      <c r="M719" s="30"/>
      <c r="O719" s="27"/>
      <c r="P719" s="27"/>
      <c r="Q719" s="27"/>
      <c r="R719" s="27"/>
      <c r="S719" s="27"/>
      <c r="T719" s="27"/>
      <c r="U719" s="27"/>
      <c r="V719" s="27"/>
      <c r="W719" s="27"/>
      <c r="X719" s="27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L720" s="29"/>
      <c r="M720" s="30"/>
      <c r="O720" s="27"/>
      <c r="P720" s="27"/>
      <c r="Q720" s="27"/>
      <c r="R720" s="27"/>
      <c r="S720" s="27"/>
      <c r="T720" s="27"/>
      <c r="U720" s="27"/>
      <c r="V720" s="27"/>
      <c r="W720" s="27"/>
      <c r="X720" s="27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L721" s="29"/>
      <c r="M721" s="30"/>
      <c r="O721" s="27"/>
      <c r="P721" s="27"/>
      <c r="Q721" s="27"/>
      <c r="R721" s="27"/>
      <c r="S721" s="27"/>
      <c r="T721" s="27"/>
      <c r="U721" s="27"/>
      <c r="V721" s="27"/>
      <c r="W721" s="27"/>
      <c r="X721" s="27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L722" s="29"/>
      <c r="M722" s="30"/>
      <c r="O722" s="27"/>
      <c r="P722" s="27"/>
      <c r="Q722" s="27"/>
      <c r="R722" s="27"/>
      <c r="S722" s="27"/>
      <c r="T722" s="27"/>
      <c r="U722" s="27"/>
      <c r="V722" s="27"/>
      <c r="W722" s="27"/>
      <c r="X722" s="27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L723" s="29"/>
      <c r="M723" s="30"/>
      <c r="O723" s="27"/>
      <c r="P723" s="27"/>
      <c r="Q723" s="27"/>
      <c r="R723" s="27"/>
      <c r="S723" s="27"/>
      <c r="T723" s="27"/>
      <c r="U723" s="27"/>
      <c r="V723" s="27"/>
      <c r="W723" s="27"/>
      <c r="X723" s="27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L724" s="29"/>
      <c r="M724" s="30"/>
      <c r="O724" s="27"/>
      <c r="P724" s="27"/>
      <c r="Q724" s="27"/>
      <c r="R724" s="27"/>
      <c r="S724" s="27"/>
      <c r="T724" s="27"/>
      <c r="U724" s="27"/>
      <c r="V724" s="27"/>
      <c r="W724" s="27"/>
      <c r="X724" s="27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L725" s="29"/>
      <c r="M725" s="30"/>
      <c r="O725" s="27"/>
      <c r="P725" s="27"/>
      <c r="Q725" s="27"/>
      <c r="R725" s="27"/>
      <c r="S725" s="27"/>
      <c r="T725" s="27"/>
      <c r="U725" s="27"/>
      <c r="V725" s="27"/>
      <c r="W725" s="27"/>
      <c r="X725" s="27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L726" s="29"/>
      <c r="M726" s="30"/>
      <c r="O726" s="27"/>
      <c r="P726" s="27"/>
      <c r="Q726" s="27"/>
      <c r="R726" s="27"/>
      <c r="S726" s="27"/>
      <c r="T726" s="27"/>
      <c r="U726" s="27"/>
      <c r="V726" s="27"/>
      <c r="W726" s="27"/>
      <c r="X726" s="27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L727" s="29"/>
      <c r="M727" s="30"/>
      <c r="O727" s="27"/>
      <c r="P727" s="27"/>
      <c r="Q727" s="27"/>
      <c r="R727" s="27"/>
      <c r="S727" s="27"/>
      <c r="T727" s="27"/>
      <c r="U727" s="27"/>
      <c r="V727" s="27"/>
      <c r="W727" s="27"/>
      <c r="X727" s="27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L728" s="29"/>
      <c r="M728" s="30"/>
      <c r="O728" s="27"/>
      <c r="P728" s="27"/>
      <c r="Q728" s="27"/>
      <c r="R728" s="27"/>
      <c r="S728" s="27"/>
      <c r="T728" s="27"/>
      <c r="U728" s="27"/>
      <c r="V728" s="27"/>
      <c r="W728" s="27"/>
      <c r="X728" s="27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L729" s="29"/>
      <c r="M729" s="30"/>
      <c r="O729" s="27"/>
      <c r="P729" s="27"/>
      <c r="Q729" s="27"/>
      <c r="R729" s="27"/>
      <c r="S729" s="27"/>
      <c r="T729" s="27"/>
      <c r="U729" s="27"/>
      <c r="V729" s="27"/>
      <c r="W729" s="27"/>
      <c r="X729" s="27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L730" s="29"/>
      <c r="M730" s="30"/>
      <c r="O730" s="27"/>
      <c r="P730" s="27"/>
      <c r="Q730" s="27"/>
      <c r="R730" s="27"/>
      <c r="S730" s="27"/>
      <c r="T730" s="27"/>
      <c r="U730" s="27"/>
      <c r="V730" s="27"/>
      <c r="W730" s="27"/>
      <c r="X730" s="27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L731" s="29"/>
      <c r="M731" s="30"/>
      <c r="O731" s="27"/>
      <c r="P731" s="27"/>
      <c r="Q731" s="27"/>
      <c r="R731" s="27"/>
      <c r="S731" s="27"/>
      <c r="T731" s="27"/>
      <c r="U731" s="27"/>
      <c r="V731" s="27"/>
      <c r="W731" s="27"/>
      <c r="X731" s="27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L732" s="29"/>
      <c r="M732" s="30"/>
      <c r="O732" s="27"/>
      <c r="P732" s="27"/>
      <c r="Q732" s="27"/>
      <c r="R732" s="27"/>
      <c r="S732" s="27"/>
      <c r="T732" s="27"/>
      <c r="U732" s="27"/>
      <c r="V732" s="27"/>
      <c r="W732" s="27"/>
      <c r="X732" s="27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L733" s="29"/>
      <c r="M733" s="30"/>
      <c r="O733" s="27"/>
      <c r="P733" s="27"/>
      <c r="Q733" s="27"/>
      <c r="R733" s="27"/>
      <c r="S733" s="27"/>
      <c r="T733" s="27"/>
      <c r="U733" s="27"/>
      <c r="V733" s="27"/>
      <c r="W733" s="27"/>
      <c r="X733" s="27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L734" s="29"/>
      <c r="M734" s="30"/>
      <c r="O734" s="27"/>
      <c r="P734" s="27"/>
      <c r="Q734" s="27"/>
      <c r="R734" s="27"/>
      <c r="S734" s="27"/>
      <c r="T734" s="27"/>
      <c r="U734" s="27"/>
      <c r="V734" s="27"/>
      <c r="W734" s="27"/>
      <c r="X734" s="27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L735" s="29"/>
      <c r="M735" s="30"/>
      <c r="O735" s="27"/>
      <c r="P735" s="27"/>
      <c r="Q735" s="27"/>
      <c r="R735" s="27"/>
      <c r="S735" s="27"/>
      <c r="T735" s="27"/>
      <c r="U735" s="27"/>
      <c r="V735" s="27"/>
      <c r="W735" s="27"/>
      <c r="X735" s="27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L736" s="29"/>
      <c r="M736" s="30"/>
      <c r="O736" s="27"/>
      <c r="P736" s="27"/>
      <c r="Q736" s="27"/>
      <c r="R736" s="27"/>
      <c r="S736" s="27"/>
      <c r="T736" s="27"/>
      <c r="U736" s="27"/>
      <c r="V736" s="27"/>
      <c r="W736" s="27"/>
      <c r="X736" s="27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L737" s="29"/>
      <c r="M737" s="30"/>
      <c r="O737" s="27"/>
      <c r="P737" s="27"/>
      <c r="Q737" s="27"/>
      <c r="R737" s="27"/>
      <c r="S737" s="27"/>
      <c r="T737" s="27"/>
      <c r="U737" s="27"/>
      <c r="V737" s="27"/>
      <c r="W737" s="27"/>
      <c r="X737" s="27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L738" s="29"/>
      <c r="M738" s="30"/>
      <c r="O738" s="27"/>
      <c r="P738" s="27"/>
      <c r="Q738" s="27"/>
      <c r="R738" s="27"/>
      <c r="S738" s="27"/>
      <c r="T738" s="27"/>
      <c r="U738" s="27"/>
      <c r="V738" s="27"/>
      <c r="W738" s="27"/>
      <c r="X738" s="27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L739" s="29"/>
      <c r="M739" s="30"/>
      <c r="O739" s="27"/>
      <c r="P739" s="27"/>
      <c r="Q739" s="27"/>
      <c r="R739" s="27"/>
      <c r="S739" s="27"/>
      <c r="T739" s="27"/>
      <c r="U739" s="27"/>
      <c r="V739" s="27"/>
      <c r="W739" s="27"/>
      <c r="X739" s="27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L740" s="29"/>
      <c r="M740" s="30"/>
      <c r="O740" s="27"/>
      <c r="P740" s="27"/>
      <c r="Q740" s="27"/>
      <c r="R740" s="27"/>
      <c r="S740" s="27"/>
      <c r="T740" s="27"/>
      <c r="U740" s="27"/>
      <c r="V740" s="27"/>
      <c r="W740" s="27"/>
      <c r="X740" s="27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L741" s="29"/>
      <c r="M741" s="30"/>
      <c r="O741" s="27"/>
      <c r="P741" s="27"/>
      <c r="Q741" s="27"/>
      <c r="R741" s="27"/>
      <c r="S741" s="27"/>
      <c r="T741" s="27"/>
      <c r="U741" s="27"/>
      <c r="V741" s="27"/>
      <c r="W741" s="27"/>
      <c r="X741" s="27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L742" s="29"/>
      <c r="M742" s="30"/>
      <c r="O742" s="27"/>
      <c r="P742" s="27"/>
      <c r="Q742" s="27"/>
      <c r="R742" s="27"/>
      <c r="S742" s="27"/>
      <c r="T742" s="27"/>
      <c r="U742" s="27"/>
      <c r="V742" s="27"/>
      <c r="W742" s="27"/>
      <c r="X742" s="27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L743" s="29"/>
      <c r="M743" s="30"/>
      <c r="O743" s="27"/>
      <c r="P743" s="27"/>
      <c r="Q743" s="27"/>
      <c r="R743" s="27"/>
      <c r="S743" s="27"/>
      <c r="T743" s="27"/>
      <c r="U743" s="27"/>
      <c r="V743" s="27"/>
      <c r="W743" s="27"/>
      <c r="X743" s="27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L744" s="29"/>
      <c r="M744" s="30"/>
      <c r="O744" s="27"/>
      <c r="P744" s="27"/>
      <c r="Q744" s="27"/>
      <c r="R744" s="27"/>
      <c r="S744" s="27"/>
      <c r="T744" s="27"/>
      <c r="U744" s="27"/>
      <c r="V744" s="27"/>
      <c r="W744" s="27"/>
      <c r="X744" s="27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L745" s="29"/>
      <c r="M745" s="30"/>
      <c r="O745" s="27"/>
      <c r="P745" s="27"/>
      <c r="Q745" s="27"/>
      <c r="R745" s="27"/>
      <c r="S745" s="27"/>
      <c r="T745" s="27"/>
      <c r="U745" s="27"/>
      <c r="V745" s="27"/>
      <c r="W745" s="27"/>
      <c r="X745" s="27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L746" s="29"/>
      <c r="M746" s="30"/>
      <c r="O746" s="27"/>
      <c r="P746" s="27"/>
      <c r="Q746" s="27"/>
      <c r="R746" s="27"/>
      <c r="S746" s="27"/>
      <c r="T746" s="27"/>
      <c r="U746" s="27"/>
      <c r="V746" s="27"/>
      <c r="W746" s="27"/>
      <c r="X746" s="27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L747" s="29"/>
      <c r="M747" s="30"/>
      <c r="O747" s="27"/>
      <c r="P747" s="27"/>
      <c r="Q747" s="27"/>
      <c r="R747" s="27"/>
      <c r="S747" s="27"/>
      <c r="T747" s="27"/>
      <c r="U747" s="27"/>
      <c r="V747" s="27"/>
      <c r="W747" s="27"/>
      <c r="X747" s="27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L748" s="29"/>
      <c r="M748" s="30"/>
      <c r="O748" s="27"/>
      <c r="P748" s="27"/>
      <c r="Q748" s="27"/>
      <c r="R748" s="27"/>
      <c r="S748" s="27"/>
      <c r="T748" s="27"/>
      <c r="U748" s="27"/>
      <c r="V748" s="27"/>
      <c r="W748" s="27"/>
      <c r="X748" s="27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L749" s="29"/>
      <c r="M749" s="30"/>
      <c r="O749" s="27"/>
      <c r="P749" s="27"/>
      <c r="Q749" s="27"/>
      <c r="R749" s="27"/>
      <c r="S749" s="27"/>
      <c r="T749" s="27"/>
      <c r="U749" s="27"/>
      <c r="V749" s="27"/>
      <c r="W749" s="27"/>
      <c r="X749" s="27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L750" s="29"/>
      <c r="M750" s="30"/>
      <c r="O750" s="27"/>
      <c r="P750" s="27"/>
      <c r="Q750" s="27"/>
      <c r="R750" s="27"/>
      <c r="S750" s="27"/>
      <c r="T750" s="27"/>
      <c r="U750" s="27"/>
      <c r="V750" s="27"/>
      <c r="W750" s="27"/>
      <c r="X750" s="27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L751" s="29"/>
      <c r="M751" s="30"/>
      <c r="O751" s="27"/>
      <c r="P751" s="27"/>
      <c r="Q751" s="27"/>
      <c r="R751" s="27"/>
      <c r="S751" s="27"/>
      <c r="T751" s="27"/>
      <c r="U751" s="27"/>
      <c r="V751" s="27"/>
      <c r="W751" s="27"/>
      <c r="X751" s="27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L752" s="29"/>
      <c r="M752" s="30"/>
      <c r="O752" s="27"/>
      <c r="P752" s="27"/>
      <c r="Q752" s="27"/>
      <c r="R752" s="27"/>
      <c r="S752" s="27"/>
      <c r="T752" s="27"/>
      <c r="U752" s="27"/>
      <c r="V752" s="27"/>
      <c r="W752" s="27"/>
      <c r="X752" s="27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L753" s="29"/>
      <c r="M753" s="30"/>
      <c r="O753" s="27"/>
      <c r="P753" s="27"/>
      <c r="Q753" s="27"/>
      <c r="R753" s="27"/>
      <c r="S753" s="27"/>
      <c r="T753" s="27"/>
      <c r="U753" s="27"/>
      <c r="V753" s="27"/>
      <c r="W753" s="27"/>
      <c r="X753" s="27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L754" s="29"/>
      <c r="M754" s="30"/>
      <c r="O754" s="27"/>
      <c r="P754" s="27"/>
      <c r="Q754" s="27"/>
      <c r="R754" s="27"/>
      <c r="S754" s="27"/>
      <c r="T754" s="27"/>
      <c r="U754" s="27"/>
      <c r="V754" s="27"/>
      <c r="W754" s="27"/>
      <c r="X754" s="27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L755" s="29"/>
      <c r="M755" s="30"/>
      <c r="O755" s="27"/>
      <c r="P755" s="27"/>
      <c r="Q755" s="27"/>
      <c r="R755" s="27"/>
      <c r="S755" s="27"/>
      <c r="T755" s="27"/>
      <c r="U755" s="27"/>
      <c r="V755" s="27"/>
      <c r="W755" s="27"/>
      <c r="X755" s="27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L756" s="29"/>
      <c r="M756" s="30"/>
      <c r="O756" s="27"/>
      <c r="P756" s="27"/>
      <c r="Q756" s="27"/>
      <c r="R756" s="27"/>
      <c r="S756" s="27"/>
      <c r="T756" s="27"/>
      <c r="U756" s="27"/>
      <c r="V756" s="27"/>
      <c r="W756" s="27"/>
      <c r="X756" s="27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L757" s="29"/>
      <c r="M757" s="30"/>
      <c r="O757" s="27"/>
      <c r="P757" s="27"/>
      <c r="Q757" s="27"/>
      <c r="R757" s="27"/>
      <c r="S757" s="27"/>
      <c r="T757" s="27"/>
      <c r="U757" s="27"/>
      <c r="V757" s="27"/>
      <c r="W757" s="27"/>
      <c r="X757" s="27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L758" s="29"/>
      <c r="M758" s="30"/>
      <c r="O758" s="27"/>
      <c r="P758" s="27"/>
      <c r="Q758" s="27"/>
      <c r="R758" s="27"/>
      <c r="S758" s="27"/>
      <c r="T758" s="27"/>
      <c r="U758" s="27"/>
      <c r="V758" s="27"/>
      <c r="W758" s="27"/>
      <c r="X758" s="27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L759" s="29"/>
      <c r="M759" s="30"/>
      <c r="O759" s="27"/>
      <c r="P759" s="27"/>
      <c r="Q759" s="27"/>
      <c r="R759" s="27"/>
      <c r="S759" s="27"/>
      <c r="T759" s="27"/>
      <c r="U759" s="27"/>
      <c r="V759" s="27"/>
      <c r="W759" s="27"/>
      <c r="X759" s="27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L760" s="29"/>
      <c r="M760" s="30"/>
      <c r="O760" s="27"/>
      <c r="P760" s="27"/>
      <c r="Q760" s="27"/>
      <c r="R760" s="27"/>
      <c r="S760" s="27"/>
      <c r="T760" s="27"/>
      <c r="U760" s="27"/>
      <c r="V760" s="27"/>
      <c r="W760" s="27"/>
      <c r="X760" s="27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L761" s="29"/>
      <c r="M761" s="30"/>
      <c r="O761" s="27"/>
      <c r="P761" s="27"/>
      <c r="Q761" s="27"/>
      <c r="R761" s="27"/>
      <c r="S761" s="27"/>
      <c r="T761" s="27"/>
      <c r="U761" s="27"/>
      <c r="V761" s="27"/>
      <c r="W761" s="27"/>
      <c r="X761" s="27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L762" s="29"/>
      <c r="M762" s="30"/>
      <c r="O762" s="27"/>
      <c r="P762" s="27"/>
      <c r="Q762" s="27"/>
      <c r="R762" s="27"/>
      <c r="S762" s="27"/>
      <c r="T762" s="27"/>
      <c r="U762" s="27"/>
      <c r="V762" s="27"/>
      <c r="W762" s="27"/>
      <c r="X762" s="27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L763" s="29"/>
      <c r="M763" s="30"/>
      <c r="O763" s="27"/>
      <c r="P763" s="27"/>
      <c r="Q763" s="27"/>
      <c r="R763" s="27"/>
      <c r="S763" s="27"/>
      <c r="T763" s="27"/>
      <c r="U763" s="27"/>
      <c r="V763" s="27"/>
      <c r="W763" s="27"/>
      <c r="X763" s="27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L764" s="29"/>
      <c r="M764" s="30"/>
      <c r="O764" s="27"/>
      <c r="P764" s="27"/>
      <c r="Q764" s="27"/>
      <c r="R764" s="27"/>
      <c r="S764" s="27"/>
      <c r="T764" s="27"/>
      <c r="U764" s="27"/>
      <c r="V764" s="27"/>
      <c r="W764" s="27"/>
      <c r="X764" s="27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L765" s="29"/>
      <c r="M765" s="30"/>
      <c r="O765" s="27"/>
      <c r="P765" s="27"/>
      <c r="Q765" s="27"/>
      <c r="R765" s="27"/>
      <c r="S765" s="27"/>
      <c r="T765" s="27"/>
      <c r="U765" s="27"/>
      <c r="V765" s="27"/>
      <c r="W765" s="27"/>
      <c r="X765" s="27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L766" s="29"/>
      <c r="M766" s="30"/>
      <c r="O766" s="27"/>
      <c r="P766" s="27"/>
      <c r="Q766" s="27"/>
      <c r="R766" s="27"/>
      <c r="S766" s="27"/>
      <c r="T766" s="27"/>
      <c r="U766" s="27"/>
      <c r="V766" s="27"/>
      <c r="W766" s="27"/>
      <c r="X766" s="27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L767" s="29"/>
      <c r="M767" s="30"/>
      <c r="O767" s="27"/>
      <c r="P767" s="27"/>
      <c r="Q767" s="27"/>
      <c r="R767" s="27"/>
      <c r="S767" s="27"/>
      <c r="T767" s="27"/>
      <c r="U767" s="27"/>
      <c r="V767" s="27"/>
      <c r="W767" s="27"/>
      <c r="X767" s="27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L768" s="29"/>
      <c r="M768" s="30"/>
      <c r="O768" s="27"/>
      <c r="P768" s="27"/>
      <c r="Q768" s="27"/>
      <c r="R768" s="27"/>
      <c r="S768" s="27"/>
      <c r="T768" s="27"/>
      <c r="U768" s="27"/>
      <c r="V768" s="27"/>
      <c r="W768" s="27"/>
      <c r="X768" s="27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L769" s="29"/>
      <c r="M769" s="30"/>
      <c r="O769" s="27"/>
      <c r="P769" s="27"/>
      <c r="Q769" s="27"/>
      <c r="R769" s="27"/>
      <c r="S769" s="27"/>
      <c r="T769" s="27"/>
      <c r="U769" s="27"/>
      <c r="V769" s="27"/>
      <c r="W769" s="27"/>
      <c r="X769" s="27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L770" s="29"/>
      <c r="M770" s="30"/>
      <c r="O770" s="27"/>
      <c r="P770" s="27"/>
      <c r="Q770" s="27"/>
      <c r="R770" s="27"/>
      <c r="S770" s="27"/>
      <c r="T770" s="27"/>
      <c r="U770" s="27"/>
      <c r="V770" s="27"/>
      <c r="W770" s="27"/>
      <c r="X770" s="27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L771" s="29"/>
      <c r="M771" s="30"/>
      <c r="O771" s="27"/>
      <c r="P771" s="27"/>
      <c r="Q771" s="27"/>
      <c r="R771" s="27"/>
      <c r="S771" s="27"/>
      <c r="T771" s="27"/>
      <c r="U771" s="27"/>
      <c r="V771" s="27"/>
      <c r="W771" s="27"/>
      <c r="X771" s="27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L772" s="29"/>
      <c r="M772" s="30"/>
      <c r="O772" s="27"/>
      <c r="P772" s="27"/>
      <c r="Q772" s="27"/>
      <c r="R772" s="27"/>
      <c r="S772" s="27"/>
      <c r="T772" s="27"/>
      <c r="U772" s="27"/>
      <c r="V772" s="27"/>
      <c r="W772" s="27"/>
      <c r="X772" s="27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L773" s="29"/>
      <c r="M773" s="30"/>
      <c r="O773" s="27"/>
      <c r="P773" s="27"/>
      <c r="Q773" s="27"/>
      <c r="R773" s="27"/>
      <c r="S773" s="27"/>
      <c r="T773" s="27"/>
      <c r="U773" s="27"/>
      <c r="V773" s="27"/>
      <c r="W773" s="27"/>
      <c r="X773" s="27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L774" s="29"/>
      <c r="M774" s="30"/>
      <c r="O774" s="27"/>
      <c r="P774" s="27"/>
      <c r="Q774" s="27"/>
      <c r="R774" s="27"/>
      <c r="S774" s="27"/>
      <c r="T774" s="27"/>
      <c r="U774" s="27"/>
      <c r="V774" s="27"/>
      <c r="W774" s="27"/>
      <c r="X774" s="27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L775" s="29"/>
      <c r="M775" s="30"/>
      <c r="O775" s="27"/>
      <c r="P775" s="27"/>
      <c r="Q775" s="27"/>
      <c r="R775" s="27"/>
      <c r="S775" s="27"/>
      <c r="T775" s="27"/>
      <c r="U775" s="27"/>
      <c r="V775" s="27"/>
      <c r="W775" s="27"/>
      <c r="X775" s="27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L776" s="29"/>
      <c r="M776" s="30"/>
      <c r="O776" s="27"/>
      <c r="P776" s="27"/>
      <c r="Q776" s="27"/>
      <c r="R776" s="27"/>
      <c r="S776" s="27"/>
      <c r="T776" s="27"/>
      <c r="U776" s="27"/>
      <c r="V776" s="27"/>
      <c r="W776" s="27"/>
      <c r="X776" s="27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L777" s="29"/>
      <c r="M777" s="30"/>
      <c r="O777" s="27"/>
      <c r="P777" s="27"/>
      <c r="Q777" s="27"/>
      <c r="R777" s="27"/>
      <c r="S777" s="27"/>
      <c r="T777" s="27"/>
      <c r="U777" s="27"/>
      <c r="V777" s="27"/>
      <c r="W777" s="27"/>
      <c r="X777" s="27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L778" s="29"/>
      <c r="M778" s="30"/>
      <c r="O778" s="27"/>
      <c r="P778" s="27"/>
      <c r="Q778" s="27"/>
      <c r="R778" s="27"/>
      <c r="S778" s="27"/>
      <c r="T778" s="27"/>
      <c r="U778" s="27"/>
      <c r="V778" s="27"/>
      <c r="W778" s="27"/>
      <c r="X778" s="27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L779" s="29"/>
      <c r="M779" s="30"/>
      <c r="O779" s="27"/>
      <c r="P779" s="27"/>
      <c r="Q779" s="27"/>
      <c r="R779" s="27"/>
      <c r="S779" s="27"/>
      <c r="T779" s="27"/>
      <c r="U779" s="27"/>
      <c r="V779" s="27"/>
      <c r="W779" s="27"/>
      <c r="X779" s="27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L780" s="29"/>
      <c r="M780" s="30"/>
      <c r="O780" s="27"/>
      <c r="P780" s="27"/>
      <c r="Q780" s="27"/>
      <c r="R780" s="27"/>
      <c r="S780" s="27"/>
      <c r="T780" s="27"/>
      <c r="U780" s="27"/>
      <c r="V780" s="27"/>
      <c r="W780" s="27"/>
      <c r="X780" s="27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L781" s="29"/>
      <c r="M781" s="30"/>
      <c r="O781" s="27"/>
      <c r="P781" s="27"/>
      <c r="Q781" s="27"/>
      <c r="R781" s="27"/>
      <c r="S781" s="27"/>
      <c r="T781" s="27"/>
      <c r="U781" s="27"/>
      <c r="V781" s="27"/>
      <c r="W781" s="27"/>
      <c r="X781" s="27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L782" s="29"/>
      <c r="M782" s="30"/>
      <c r="O782" s="27"/>
      <c r="P782" s="27"/>
      <c r="Q782" s="27"/>
      <c r="R782" s="27"/>
      <c r="S782" s="27"/>
      <c r="T782" s="27"/>
      <c r="U782" s="27"/>
      <c r="V782" s="27"/>
      <c r="W782" s="27"/>
      <c r="X782" s="27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L783" s="29"/>
      <c r="M783" s="30"/>
      <c r="O783" s="27"/>
      <c r="P783" s="27"/>
      <c r="Q783" s="27"/>
      <c r="R783" s="27"/>
      <c r="S783" s="27"/>
      <c r="T783" s="27"/>
      <c r="U783" s="27"/>
      <c r="V783" s="27"/>
      <c r="W783" s="27"/>
      <c r="X783" s="27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L784" s="29"/>
      <c r="M784" s="30"/>
      <c r="O784" s="27"/>
      <c r="P784" s="27"/>
      <c r="Q784" s="27"/>
      <c r="R784" s="27"/>
      <c r="S784" s="27"/>
      <c r="T784" s="27"/>
      <c r="U784" s="27"/>
      <c r="V784" s="27"/>
      <c r="W784" s="27"/>
      <c r="X784" s="27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L785" s="29"/>
      <c r="M785" s="30"/>
      <c r="O785" s="27"/>
      <c r="P785" s="27"/>
      <c r="Q785" s="27"/>
      <c r="R785" s="27"/>
      <c r="S785" s="27"/>
      <c r="T785" s="27"/>
      <c r="U785" s="27"/>
      <c r="V785" s="27"/>
      <c r="W785" s="27"/>
      <c r="X785" s="27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L786" s="29"/>
      <c r="M786" s="30"/>
      <c r="O786" s="27"/>
      <c r="P786" s="27"/>
      <c r="Q786" s="27"/>
      <c r="R786" s="27"/>
      <c r="S786" s="27"/>
      <c r="T786" s="27"/>
      <c r="U786" s="27"/>
      <c r="V786" s="27"/>
      <c r="W786" s="27"/>
      <c r="X786" s="27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L787" s="29"/>
      <c r="M787" s="30"/>
      <c r="O787" s="27"/>
      <c r="P787" s="27"/>
      <c r="Q787" s="27"/>
      <c r="R787" s="27"/>
      <c r="S787" s="27"/>
      <c r="T787" s="27"/>
      <c r="U787" s="27"/>
      <c r="V787" s="27"/>
      <c r="W787" s="27"/>
      <c r="X787" s="27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L788" s="29"/>
      <c r="M788" s="30"/>
      <c r="O788" s="27"/>
      <c r="P788" s="27"/>
      <c r="Q788" s="27"/>
      <c r="R788" s="27"/>
      <c r="S788" s="27"/>
      <c r="T788" s="27"/>
      <c r="U788" s="27"/>
      <c r="V788" s="27"/>
      <c r="W788" s="27"/>
      <c r="X788" s="27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L789" s="29"/>
      <c r="M789" s="30"/>
      <c r="O789" s="27"/>
      <c r="P789" s="27"/>
      <c r="Q789" s="27"/>
      <c r="R789" s="27"/>
      <c r="S789" s="27"/>
      <c r="T789" s="27"/>
      <c r="U789" s="27"/>
      <c r="V789" s="27"/>
      <c r="W789" s="27"/>
      <c r="X789" s="27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L790" s="29"/>
      <c r="M790" s="30"/>
      <c r="O790" s="27"/>
      <c r="P790" s="27"/>
      <c r="Q790" s="27"/>
      <c r="R790" s="27"/>
      <c r="S790" s="27"/>
      <c r="T790" s="27"/>
      <c r="U790" s="27"/>
      <c r="V790" s="27"/>
      <c r="W790" s="27"/>
      <c r="X790" s="27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L791" s="29"/>
      <c r="M791" s="30"/>
      <c r="O791" s="27"/>
      <c r="P791" s="27"/>
      <c r="Q791" s="27"/>
      <c r="R791" s="27"/>
      <c r="S791" s="27"/>
      <c r="T791" s="27"/>
      <c r="U791" s="27"/>
      <c r="V791" s="27"/>
      <c r="W791" s="27"/>
      <c r="X791" s="27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L792" s="29"/>
      <c r="M792" s="30"/>
      <c r="O792" s="27"/>
      <c r="P792" s="27"/>
      <c r="Q792" s="27"/>
      <c r="R792" s="27"/>
      <c r="S792" s="27"/>
      <c r="T792" s="27"/>
      <c r="U792" s="27"/>
      <c r="V792" s="27"/>
      <c r="W792" s="27"/>
      <c r="X792" s="27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L793" s="29"/>
      <c r="M793" s="30"/>
      <c r="O793" s="27"/>
      <c r="P793" s="27"/>
      <c r="Q793" s="27"/>
      <c r="R793" s="27"/>
      <c r="S793" s="27"/>
      <c r="T793" s="27"/>
      <c r="U793" s="27"/>
      <c r="V793" s="27"/>
      <c r="W793" s="27"/>
      <c r="X793" s="27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L794" s="29"/>
      <c r="M794" s="30"/>
      <c r="O794" s="27"/>
      <c r="P794" s="27"/>
      <c r="Q794" s="27"/>
      <c r="R794" s="27"/>
      <c r="S794" s="27"/>
      <c r="T794" s="27"/>
      <c r="U794" s="27"/>
      <c r="V794" s="27"/>
      <c r="W794" s="27"/>
      <c r="X794" s="27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L795" s="29"/>
      <c r="M795" s="30"/>
      <c r="O795" s="27"/>
      <c r="P795" s="27"/>
      <c r="Q795" s="27"/>
      <c r="R795" s="27"/>
      <c r="S795" s="27"/>
      <c r="T795" s="27"/>
      <c r="U795" s="27"/>
      <c r="V795" s="27"/>
      <c r="W795" s="27"/>
      <c r="X795" s="27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L796" s="29"/>
      <c r="M796" s="30"/>
      <c r="O796" s="27"/>
      <c r="P796" s="27"/>
      <c r="Q796" s="27"/>
      <c r="R796" s="27"/>
      <c r="S796" s="27"/>
      <c r="T796" s="27"/>
      <c r="U796" s="27"/>
      <c r="V796" s="27"/>
      <c r="W796" s="27"/>
      <c r="X796" s="27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L797" s="29"/>
      <c r="M797" s="30"/>
      <c r="O797" s="27"/>
      <c r="P797" s="27"/>
      <c r="Q797" s="27"/>
      <c r="R797" s="27"/>
      <c r="S797" s="27"/>
      <c r="T797" s="27"/>
      <c r="U797" s="27"/>
      <c r="V797" s="27"/>
      <c r="W797" s="27"/>
      <c r="X797" s="27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L798" s="29"/>
      <c r="M798" s="30"/>
      <c r="O798" s="27"/>
      <c r="P798" s="27"/>
      <c r="Q798" s="27"/>
      <c r="R798" s="27"/>
      <c r="S798" s="27"/>
      <c r="T798" s="27"/>
      <c r="U798" s="27"/>
      <c r="V798" s="27"/>
      <c r="W798" s="27"/>
      <c r="X798" s="27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L799" s="29"/>
      <c r="M799" s="30"/>
      <c r="O799" s="27"/>
      <c r="P799" s="27"/>
      <c r="Q799" s="27"/>
      <c r="R799" s="27"/>
      <c r="S799" s="27"/>
      <c r="T799" s="27"/>
      <c r="U799" s="27"/>
      <c r="V799" s="27"/>
      <c r="W799" s="27"/>
      <c r="X799" s="27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L800" s="29"/>
      <c r="M800" s="30"/>
      <c r="O800" s="27"/>
      <c r="P800" s="27"/>
      <c r="Q800" s="27"/>
      <c r="R800" s="27"/>
      <c r="S800" s="27"/>
      <c r="T800" s="27"/>
      <c r="U800" s="27"/>
      <c r="V800" s="27"/>
      <c r="W800" s="27"/>
      <c r="X800" s="27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L801" s="29"/>
      <c r="M801" s="30"/>
      <c r="O801" s="27"/>
      <c r="P801" s="27"/>
      <c r="Q801" s="27"/>
      <c r="R801" s="27"/>
      <c r="S801" s="27"/>
      <c r="T801" s="27"/>
      <c r="U801" s="27"/>
      <c r="V801" s="27"/>
      <c r="W801" s="27"/>
      <c r="X801" s="27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L802" s="29"/>
      <c r="M802" s="30"/>
      <c r="O802" s="27"/>
      <c r="P802" s="27"/>
      <c r="Q802" s="27"/>
      <c r="R802" s="27"/>
      <c r="S802" s="27"/>
      <c r="T802" s="27"/>
      <c r="U802" s="27"/>
      <c r="V802" s="27"/>
      <c r="W802" s="27"/>
      <c r="X802" s="27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L803" s="29"/>
      <c r="M803" s="30"/>
      <c r="O803" s="27"/>
      <c r="P803" s="27"/>
      <c r="Q803" s="27"/>
      <c r="R803" s="27"/>
      <c r="S803" s="27"/>
      <c r="T803" s="27"/>
      <c r="U803" s="27"/>
      <c r="V803" s="27"/>
      <c r="W803" s="27"/>
      <c r="X803" s="27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L804" s="29"/>
      <c r="M804" s="30"/>
      <c r="O804" s="27"/>
      <c r="P804" s="27"/>
      <c r="Q804" s="27"/>
      <c r="R804" s="27"/>
      <c r="S804" s="27"/>
      <c r="T804" s="27"/>
      <c r="U804" s="27"/>
      <c r="V804" s="27"/>
      <c r="W804" s="27"/>
      <c r="X804" s="27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L805" s="29"/>
      <c r="M805" s="30"/>
      <c r="O805" s="27"/>
      <c r="P805" s="27"/>
      <c r="Q805" s="27"/>
      <c r="R805" s="27"/>
      <c r="S805" s="27"/>
      <c r="T805" s="27"/>
      <c r="U805" s="27"/>
      <c r="V805" s="27"/>
      <c r="W805" s="27"/>
      <c r="X805" s="27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L806" s="29"/>
      <c r="M806" s="30"/>
      <c r="O806" s="27"/>
      <c r="P806" s="27"/>
      <c r="Q806" s="27"/>
      <c r="R806" s="27"/>
      <c r="S806" s="27"/>
      <c r="T806" s="27"/>
      <c r="U806" s="27"/>
      <c r="V806" s="27"/>
      <c r="W806" s="27"/>
      <c r="X806" s="27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L807" s="29"/>
      <c r="M807" s="30"/>
      <c r="O807" s="27"/>
      <c r="P807" s="27"/>
      <c r="Q807" s="27"/>
      <c r="R807" s="27"/>
      <c r="S807" s="27"/>
      <c r="T807" s="27"/>
      <c r="U807" s="27"/>
      <c r="V807" s="27"/>
      <c r="W807" s="27"/>
      <c r="X807" s="27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L808" s="29"/>
      <c r="M808" s="30"/>
      <c r="O808" s="27"/>
      <c r="P808" s="27"/>
      <c r="Q808" s="27"/>
      <c r="R808" s="27"/>
      <c r="S808" s="27"/>
      <c r="T808" s="27"/>
      <c r="U808" s="27"/>
      <c r="V808" s="27"/>
      <c r="W808" s="27"/>
      <c r="X808" s="27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L809" s="29"/>
      <c r="M809" s="30"/>
      <c r="O809" s="27"/>
      <c r="P809" s="27"/>
      <c r="Q809" s="27"/>
      <c r="R809" s="27"/>
      <c r="S809" s="27"/>
      <c r="T809" s="27"/>
      <c r="U809" s="27"/>
      <c r="V809" s="27"/>
      <c r="W809" s="27"/>
      <c r="X809" s="27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L810" s="29"/>
      <c r="M810" s="30"/>
      <c r="O810" s="27"/>
      <c r="P810" s="27"/>
      <c r="Q810" s="27"/>
      <c r="R810" s="27"/>
      <c r="S810" s="27"/>
      <c r="T810" s="27"/>
      <c r="U810" s="27"/>
      <c r="V810" s="27"/>
      <c r="W810" s="27"/>
      <c r="X810" s="27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L811" s="29"/>
      <c r="M811" s="30"/>
      <c r="O811" s="27"/>
      <c r="P811" s="27"/>
      <c r="Q811" s="27"/>
      <c r="R811" s="27"/>
      <c r="S811" s="27"/>
      <c r="T811" s="27"/>
      <c r="U811" s="27"/>
      <c r="V811" s="27"/>
      <c r="W811" s="27"/>
      <c r="X811" s="27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L812" s="29"/>
      <c r="M812" s="30"/>
      <c r="O812" s="27"/>
      <c r="P812" s="27"/>
      <c r="Q812" s="27"/>
      <c r="R812" s="27"/>
      <c r="S812" s="27"/>
      <c r="T812" s="27"/>
      <c r="U812" s="27"/>
      <c r="V812" s="27"/>
      <c r="W812" s="27"/>
      <c r="X812" s="27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L813" s="29"/>
      <c r="M813" s="30"/>
      <c r="O813" s="27"/>
      <c r="P813" s="27"/>
      <c r="Q813" s="27"/>
      <c r="R813" s="27"/>
      <c r="S813" s="27"/>
      <c r="T813" s="27"/>
      <c r="U813" s="27"/>
      <c r="V813" s="27"/>
      <c r="W813" s="27"/>
      <c r="X813" s="27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L814" s="29"/>
      <c r="M814" s="30"/>
      <c r="O814" s="27"/>
      <c r="P814" s="27"/>
      <c r="Q814" s="27"/>
      <c r="R814" s="27"/>
      <c r="S814" s="27"/>
      <c r="T814" s="27"/>
      <c r="U814" s="27"/>
      <c r="V814" s="27"/>
      <c r="W814" s="27"/>
      <c r="X814" s="27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L815" s="29"/>
      <c r="M815" s="30"/>
      <c r="O815" s="27"/>
      <c r="P815" s="27"/>
      <c r="Q815" s="27"/>
      <c r="R815" s="27"/>
      <c r="S815" s="27"/>
      <c r="T815" s="27"/>
      <c r="U815" s="27"/>
      <c r="V815" s="27"/>
      <c r="W815" s="27"/>
      <c r="X815" s="27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L816" s="29"/>
      <c r="M816" s="30"/>
      <c r="O816" s="27"/>
      <c r="P816" s="27"/>
      <c r="Q816" s="27"/>
      <c r="R816" s="27"/>
      <c r="S816" s="27"/>
      <c r="T816" s="27"/>
      <c r="U816" s="27"/>
      <c r="V816" s="27"/>
      <c r="W816" s="27"/>
      <c r="X816" s="27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L817" s="29"/>
      <c r="M817" s="30"/>
      <c r="O817" s="27"/>
      <c r="P817" s="27"/>
      <c r="Q817" s="27"/>
      <c r="R817" s="27"/>
      <c r="S817" s="27"/>
      <c r="T817" s="27"/>
      <c r="U817" s="27"/>
      <c r="V817" s="27"/>
      <c r="W817" s="27"/>
      <c r="X817" s="27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L818" s="29"/>
      <c r="M818" s="30"/>
      <c r="O818" s="27"/>
      <c r="P818" s="27"/>
      <c r="Q818" s="27"/>
      <c r="R818" s="27"/>
      <c r="S818" s="27"/>
      <c r="T818" s="27"/>
      <c r="U818" s="27"/>
      <c r="V818" s="27"/>
      <c r="W818" s="27"/>
      <c r="X818" s="27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L819" s="29"/>
      <c r="M819" s="30"/>
      <c r="O819" s="27"/>
      <c r="P819" s="27"/>
      <c r="Q819" s="27"/>
      <c r="R819" s="27"/>
      <c r="S819" s="27"/>
      <c r="T819" s="27"/>
      <c r="U819" s="27"/>
      <c r="V819" s="27"/>
      <c r="W819" s="27"/>
      <c r="X819" s="27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L820" s="29"/>
      <c r="M820" s="30"/>
      <c r="O820" s="27"/>
      <c r="P820" s="27"/>
      <c r="Q820" s="27"/>
      <c r="R820" s="27"/>
      <c r="S820" s="27"/>
      <c r="T820" s="27"/>
      <c r="U820" s="27"/>
      <c r="V820" s="27"/>
      <c r="W820" s="27"/>
      <c r="X820" s="27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L821" s="29"/>
      <c r="M821" s="30"/>
      <c r="O821" s="27"/>
      <c r="P821" s="27"/>
      <c r="Q821" s="27"/>
      <c r="R821" s="27"/>
      <c r="S821" s="27"/>
      <c r="T821" s="27"/>
      <c r="U821" s="27"/>
      <c r="V821" s="27"/>
      <c r="W821" s="27"/>
      <c r="X821" s="27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L822" s="29"/>
      <c r="M822" s="30"/>
      <c r="O822" s="27"/>
      <c r="P822" s="27"/>
      <c r="Q822" s="27"/>
      <c r="R822" s="27"/>
      <c r="S822" s="27"/>
      <c r="T822" s="27"/>
      <c r="U822" s="27"/>
      <c r="V822" s="27"/>
      <c r="W822" s="27"/>
      <c r="X822" s="27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L823" s="29"/>
      <c r="M823" s="30"/>
      <c r="O823" s="27"/>
      <c r="P823" s="27"/>
      <c r="Q823" s="27"/>
      <c r="R823" s="27"/>
      <c r="S823" s="27"/>
      <c r="T823" s="27"/>
      <c r="U823" s="27"/>
      <c r="V823" s="27"/>
      <c r="W823" s="27"/>
      <c r="X823" s="27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L824" s="29"/>
      <c r="M824" s="30"/>
      <c r="O824" s="27"/>
      <c r="P824" s="27"/>
      <c r="Q824" s="27"/>
      <c r="R824" s="27"/>
      <c r="S824" s="27"/>
      <c r="T824" s="27"/>
      <c r="U824" s="27"/>
      <c r="V824" s="27"/>
      <c r="W824" s="27"/>
      <c r="X824" s="27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L825" s="29"/>
      <c r="M825" s="30"/>
      <c r="O825" s="27"/>
      <c r="P825" s="27"/>
      <c r="Q825" s="27"/>
      <c r="R825" s="27"/>
      <c r="S825" s="27"/>
      <c r="T825" s="27"/>
      <c r="U825" s="27"/>
      <c r="V825" s="27"/>
      <c r="W825" s="27"/>
      <c r="X825" s="27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L826" s="29"/>
      <c r="M826" s="30"/>
      <c r="O826" s="27"/>
      <c r="P826" s="27"/>
      <c r="Q826" s="27"/>
      <c r="R826" s="27"/>
      <c r="S826" s="27"/>
      <c r="T826" s="27"/>
      <c r="U826" s="27"/>
      <c r="V826" s="27"/>
      <c r="W826" s="27"/>
      <c r="X826" s="27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L827" s="29"/>
      <c r="M827" s="30"/>
      <c r="O827" s="27"/>
      <c r="P827" s="27"/>
      <c r="Q827" s="27"/>
      <c r="R827" s="27"/>
      <c r="S827" s="27"/>
      <c r="T827" s="27"/>
      <c r="U827" s="27"/>
      <c r="V827" s="27"/>
      <c r="W827" s="27"/>
      <c r="X827" s="27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L828" s="29"/>
      <c r="M828" s="30"/>
      <c r="O828" s="27"/>
      <c r="P828" s="27"/>
      <c r="Q828" s="27"/>
      <c r="R828" s="27"/>
      <c r="S828" s="27"/>
      <c r="T828" s="27"/>
      <c r="U828" s="27"/>
      <c r="V828" s="27"/>
      <c r="W828" s="27"/>
      <c r="X828" s="27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L829" s="29"/>
      <c r="M829" s="30"/>
      <c r="O829" s="27"/>
      <c r="P829" s="27"/>
      <c r="Q829" s="27"/>
      <c r="R829" s="27"/>
      <c r="S829" s="27"/>
      <c r="T829" s="27"/>
      <c r="U829" s="27"/>
      <c r="V829" s="27"/>
      <c r="W829" s="27"/>
      <c r="X829" s="27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L830" s="29"/>
      <c r="M830" s="30"/>
      <c r="O830" s="27"/>
      <c r="P830" s="27"/>
      <c r="Q830" s="27"/>
      <c r="R830" s="27"/>
      <c r="S830" s="27"/>
      <c r="T830" s="27"/>
      <c r="U830" s="27"/>
      <c r="V830" s="27"/>
      <c r="W830" s="27"/>
      <c r="X830" s="27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L831" s="29"/>
      <c r="M831" s="30"/>
      <c r="O831" s="27"/>
      <c r="P831" s="27"/>
      <c r="Q831" s="27"/>
      <c r="R831" s="27"/>
      <c r="S831" s="27"/>
      <c r="T831" s="27"/>
      <c r="U831" s="27"/>
      <c r="V831" s="27"/>
      <c r="W831" s="27"/>
      <c r="X831" s="27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L832" s="29"/>
      <c r="M832" s="30"/>
      <c r="O832" s="27"/>
      <c r="P832" s="27"/>
      <c r="Q832" s="27"/>
      <c r="R832" s="27"/>
      <c r="S832" s="27"/>
      <c r="T832" s="27"/>
      <c r="U832" s="27"/>
      <c r="V832" s="27"/>
      <c r="W832" s="27"/>
      <c r="X832" s="27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L833" s="29"/>
      <c r="M833" s="30"/>
      <c r="O833" s="27"/>
      <c r="P833" s="27"/>
      <c r="Q833" s="27"/>
      <c r="R833" s="27"/>
      <c r="S833" s="27"/>
      <c r="T833" s="27"/>
      <c r="U833" s="27"/>
      <c r="V833" s="27"/>
      <c r="W833" s="27"/>
      <c r="X833" s="27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L834" s="29"/>
      <c r="M834" s="30"/>
      <c r="O834" s="27"/>
      <c r="P834" s="27"/>
      <c r="Q834" s="27"/>
      <c r="R834" s="27"/>
      <c r="S834" s="27"/>
      <c r="T834" s="27"/>
      <c r="U834" s="27"/>
      <c r="V834" s="27"/>
      <c r="W834" s="27"/>
      <c r="X834" s="27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L835" s="29"/>
      <c r="M835" s="30"/>
      <c r="O835" s="27"/>
      <c r="P835" s="27"/>
      <c r="Q835" s="27"/>
      <c r="R835" s="27"/>
      <c r="S835" s="27"/>
      <c r="T835" s="27"/>
      <c r="U835" s="27"/>
      <c r="V835" s="27"/>
      <c r="W835" s="27"/>
      <c r="X835" s="27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L836" s="29"/>
      <c r="M836" s="30"/>
      <c r="O836" s="27"/>
      <c r="P836" s="27"/>
      <c r="Q836" s="27"/>
      <c r="R836" s="27"/>
      <c r="S836" s="27"/>
      <c r="T836" s="27"/>
      <c r="U836" s="27"/>
      <c r="V836" s="27"/>
      <c r="W836" s="27"/>
      <c r="X836" s="27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L837" s="29"/>
      <c r="M837" s="30"/>
      <c r="O837" s="27"/>
      <c r="P837" s="27"/>
      <c r="Q837" s="27"/>
      <c r="R837" s="27"/>
      <c r="S837" s="27"/>
      <c r="T837" s="27"/>
      <c r="U837" s="27"/>
      <c r="V837" s="27"/>
      <c r="W837" s="27"/>
      <c r="X837" s="27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L838" s="29"/>
      <c r="M838" s="30"/>
      <c r="O838" s="27"/>
      <c r="P838" s="27"/>
      <c r="Q838" s="27"/>
      <c r="R838" s="27"/>
      <c r="S838" s="27"/>
      <c r="T838" s="27"/>
      <c r="U838" s="27"/>
      <c r="V838" s="27"/>
      <c r="W838" s="27"/>
      <c r="X838" s="27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L839" s="29"/>
      <c r="M839" s="30"/>
      <c r="O839" s="27"/>
      <c r="P839" s="27"/>
      <c r="Q839" s="27"/>
      <c r="R839" s="27"/>
      <c r="S839" s="27"/>
      <c r="T839" s="27"/>
      <c r="U839" s="27"/>
      <c r="V839" s="27"/>
      <c r="W839" s="27"/>
      <c r="X839" s="27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L840" s="29"/>
      <c r="M840" s="30"/>
      <c r="O840" s="27"/>
      <c r="P840" s="27"/>
      <c r="Q840" s="27"/>
      <c r="R840" s="27"/>
      <c r="S840" s="27"/>
      <c r="T840" s="27"/>
      <c r="U840" s="27"/>
      <c r="V840" s="27"/>
      <c r="W840" s="27"/>
      <c r="X840" s="27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L841" s="29"/>
      <c r="M841" s="30"/>
      <c r="O841" s="27"/>
      <c r="P841" s="27"/>
      <c r="Q841" s="27"/>
      <c r="R841" s="27"/>
      <c r="S841" s="27"/>
      <c r="T841" s="27"/>
      <c r="U841" s="27"/>
      <c r="V841" s="27"/>
      <c r="W841" s="27"/>
      <c r="X841" s="27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L842" s="29"/>
      <c r="M842" s="30"/>
      <c r="O842" s="27"/>
      <c r="P842" s="27"/>
      <c r="Q842" s="27"/>
      <c r="R842" s="27"/>
      <c r="S842" s="27"/>
      <c r="T842" s="27"/>
      <c r="U842" s="27"/>
      <c r="V842" s="27"/>
      <c r="W842" s="27"/>
      <c r="X842" s="27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L843" s="29"/>
      <c r="M843" s="30"/>
      <c r="O843" s="27"/>
      <c r="P843" s="27"/>
      <c r="Q843" s="27"/>
      <c r="R843" s="27"/>
      <c r="S843" s="27"/>
      <c r="T843" s="27"/>
      <c r="U843" s="27"/>
      <c r="V843" s="27"/>
      <c r="W843" s="27"/>
      <c r="X843" s="27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L844" s="29"/>
      <c r="M844" s="30"/>
      <c r="O844" s="27"/>
      <c r="P844" s="27"/>
      <c r="Q844" s="27"/>
      <c r="R844" s="27"/>
      <c r="S844" s="27"/>
      <c r="T844" s="27"/>
      <c r="U844" s="27"/>
      <c r="V844" s="27"/>
      <c r="W844" s="27"/>
      <c r="X844" s="27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L845" s="29"/>
      <c r="M845" s="30"/>
      <c r="O845" s="27"/>
      <c r="P845" s="27"/>
      <c r="Q845" s="27"/>
      <c r="R845" s="27"/>
      <c r="S845" s="27"/>
      <c r="T845" s="27"/>
      <c r="U845" s="27"/>
      <c r="V845" s="27"/>
      <c r="W845" s="27"/>
      <c r="X845" s="27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L846" s="29"/>
      <c r="M846" s="30"/>
      <c r="O846" s="27"/>
      <c r="P846" s="27"/>
      <c r="Q846" s="27"/>
      <c r="R846" s="27"/>
      <c r="S846" s="27"/>
      <c r="T846" s="27"/>
      <c r="U846" s="27"/>
      <c r="V846" s="27"/>
      <c r="W846" s="27"/>
      <c r="X846" s="27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L847" s="29"/>
      <c r="M847" s="30"/>
      <c r="O847" s="27"/>
      <c r="P847" s="27"/>
      <c r="Q847" s="27"/>
      <c r="R847" s="27"/>
      <c r="S847" s="27"/>
      <c r="T847" s="27"/>
      <c r="U847" s="27"/>
      <c r="V847" s="27"/>
      <c r="W847" s="27"/>
      <c r="X847" s="27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L848" s="29"/>
      <c r="M848" s="30"/>
      <c r="O848" s="27"/>
      <c r="P848" s="27"/>
      <c r="Q848" s="27"/>
      <c r="R848" s="27"/>
      <c r="S848" s="27"/>
      <c r="T848" s="27"/>
      <c r="U848" s="27"/>
      <c r="V848" s="27"/>
      <c r="W848" s="27"/>
      <c r="X848" s="27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L849" s="29"/>
      <c r="M849" s="30"/>
      <c r="O849" s="27"/>
      <c r="P849" s="27"/>
      <c r="Q849" s="27"/>
      <c r="R849" s="27"/>
      <c r="S849" s="27"/>
      <c r="T849" s="27"/>
      <c r="U849" s="27"/>
      <c r="V849" s="27"/>
      <c r="W849" s="27"/>
      <c r="X849" s="27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L850" s="29"/>
      <c r="M850" s="30"/>
      <c r="O850" s="27"/>
      <c r="P850" s="27"/>
      <c r="Q850" s="27"/>
      <c r="R850" s="27"/>
      <c r="S850" s="27"/>
      <c r="T850" s="27"/>
      <c r="U850" s="27"/>
      <c r="V850" s="27"/>
      <c r="W850" s="27"/>
      <c r="X850" s="27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L851" s="29"/>
      <c r="M851" s="30"/>
      <c r="O851" s="27"/>
      <c r="P851" s="27"/>
      <c r="Q851" s="27"/>
      <c r="R851" s="27"/>
      <c r="S851" s="27"/>
      <c r="T851" s="27"/>
      <c r="U851" s="27"/>
      <c r="V851" s="27"/>
      <c r="W851" s="27"/>
      <c r="X851" s="27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L852" s="29"/>
      <c r="M852" s="30"/>
      <c r="O852" s="27"/>
      <c r="P852" s="27"/>
      <c r="Q852" s="27"/>
      <c r="R852" s="27"/>
      <c r="S852" s="27"/>
      <c r="T852" s="27"/>
      <c r="U852" s="27"/>
      <c r="V852" s="27"/>
      <c r="W852" s="27"/>
      <c r="X852" s="27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L853" s="29"/>
      <c r="M853" s="30"/>
      <c r="O853" s="27"/>
      <c r="P853" s="27"/>
      <c r="Q853" s="27"/>
      <c r="R853" s="27"/>
      <c r="S853" s="27"/>
      <c r="T853" s="27"/>
      <c r="U853" s="27"/>
      <c r="V853" s="27"/>
      <c r="W853" s="27"/>
      <c r="X853" s="27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L854" s="29"/>
      <c r="M854" s="30"/>
      <c r="O854" s="27"/>
      <c r="P854" s="27"/>
      <c r="Q854" s="27"/>
      <c r="R854" s="27"/>
      <c r="S854" s="27"/>
      <c r="T854" s="27"/>
      <c r="U854" s="27"/>
      <c r="V854" s="27"/>
      <c r="W854" s="27"/>
      <c r="X854" s="27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L855" s="29"/>
      <c r="M855" s="30"/>
      <c r="O855" s="27"/>
      <c r="P855" s="27"/>
      <c r="Q855" s="27"/>
      <c r="R855" s="27"/>
      <c r="S855" s="27"/>
      <c r="T855" s="27"/>
      <c r="U855" s="27"/>
      <c r="V855" s="27"/>
      <c r="W855" s="27"/>
      <c r="X855" s="27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L856" s="29"/>
      <c r="M856" s="30"/>
      <c r="O856" s="27"/>
      <c r="P856" s="27"/>
      <c r="Q856" s="27"/>
      <c r="R856" s="27"/>
      <c r="S856" s="27"/>
      <c r="T856" s="27"/>
      <c r="U856" s="27"/>
      <c r="V856" s="27"/>
      <c r="W856" s="27"/>
      <c r="X856" s="27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L857" s="29"/>
      <c r="M857" s="30"/>
      <c r="O857" s="27"/>
      <c r="P857" s="27"/>
      <c r="Q857" s="27"/>
      <c r="R857" s="27"/>
      <c r="S857" s="27"/>
      <c r="T857" s="27"/>
      <c r="U857" s="27"/>
      <c r="V857" s="27"/>
      <c r="W857" s="27"/>
      <c r="X857" s="27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L858" s="29"/>
      <c r="M858" s="30"/>
      <c r="O858" s="27"/>
      <c r="P858" s="27"/>
      <c r="Q858" s="27"/>
      <c r="R858" s="27"/>
      <c r="S858" s="27"/>
      <c r="T858" s="27"/>
      <c r="U858" s="27"/>
      <c r="V858" s="27"/>
      <c r="W858" s="27"/>
      <c r="X858" s="27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L859" s="29"/>
      <c r="M859" s="30"/>
      <c r="O859" s="27"/>
      <c r="P859" s="27"/>
      <c r="Q859" s="27"/>
      <c r="R859" s="27"/>
      <c r="S859" s="27"/>
      <c r="T859" s="27"/>
      <c r="U859" s="27"/>
      <c r="V859" s="27"/>
      <c r="W859" s="27"/>
      <c r="X859" s="27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L860" s="29"/>
      <c r="M860" s="30"/>
      <c r="O860" s="27"/>
      <c r="P860" s="27"/>
      <c r="Q860" s="27"/>
      <c r="R860" s="27"/>
      <c r="S860" s="27"/>
      <c r="T860" s="27"/>
      <c r="U860" s="27"/>
      <c r="V860" s="27"/>
      <c r="W860" s="27"/>
      <c r="X860" s="27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L861" s="29"/>
      <c r="M861" s="30"/>
      <c r="O861" s="27"/>
      <c r="P861" s="27"/>
      <c r="Q861" s="27"/>
      <c r="R861" s="27"/>
      <c r="S861" s="27"/>
      <c r="T861" s="27"/>
      <c r="U861" s="27"/>
      <c r="V861" s="27"/>
      <c r="W861" s="27"/>
      <c r="X861" s="27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L862" s="29"/>
      <c r="M862" s="30"/>
      <c r="O862" s="27"/>
      <c r="P862" s="27"/>
      <c r="Q862" s="27"/>
      <c r="R862" s="27"/>
      <c r="S862" s="27"/>
      <c r="T862" s="27"/>
      <c r="U862" s="27"/>
      <c r="V862" s="27"/>
      <c r="W862" s="27"/>
      <c r="X862" s="27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L863" s="29"/>
      <c r="M863" s="30"/>
      <c r="O863" s="27"/>
      <c r="P863" s="27"/>
      <c r="Q863" s="27"/>
      <c r="R863" s="27"/>
      <c r="S863" s="27"/>
      <c r="T863" s="27"/>
      <c r="U863" s="27"/>
      <c r="V863" s="27"/>
      <c r="W863" s="27"/>
      <c r="X863" s="27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L864" s="29"/>
      <c r="M864" s="30"/>
      <c r="O864" s="27"/>
      <c r="P864" s="27"/>
      <c r="Q864" s="27"/>
      <c r="R864" s="27"/>
      <c r="S864" s="27"/>
      <c r="T864" s="27"/>
      <c r="U864" s="27"/>
      <c r="V864" s="27"/>
      <c r="W864" s="27"/>
      <c r="X864" s="27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L865" s="29"/>
      <c r="M865" s="30"/>
      <c r="O865" s="27"/>
      <c r="P865" s="27"/>
      <c r="Q865" s="27"/>
      <c r="R865" s="27"/>
      <c r="S865" s="27"/>
      <c r="T865" s="27"/>
      <c r="U865" s="27"/>
      <c r="V865" s="27"/>
      <c r="W865" s="27"/>
      <c r="X865" s="27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L866" s="29"/>
      <c r="M866" s="30"/>
      <c r="O866" s="27"/>
      <c r="P866" s="27"/>
      <c r="Q866" s="27"/>
      <c r="R866" s="27"/>
      <c r="S866" s="27"/>
      <c r="T866" s="27"/>
      <c r="U866" s="27"/>
      <c r="V866" s="27"/>
      <c r="W866" s="27"/>
      <c r="X866" s="27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L867" s="29"/>
      <c r="M867" s="30"/>
      <c r="O867" s="27"/>
      <c r="P867" s="27"/>
      <c r="Q867" s="27"/>
      <c r="R867" s="27"/>
      <c r="S867" s="27"/>
      <c r="T867" s="27"/>
      <c r="U867" s="27"/>
      <c r="V867" s="27"/>
      <c r="W867" s="27"/>
      <c r="X867" s="27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L868" s="29"/>
      <c r="M868" s="30"/>
      <c r="O868" s="27"/>
      <c r="P868" s="27"/>
      <c r="Q868" s="27"/>
      <c r="R868" s="27"/>
      <c r="S868" s="27"/>
      <c r="T868" s="27"/>
      <c r="U868" s="27"/>
      <c r="V868" s="27"/>
      <c r="W868" s="27"/>
      <c r="X868" s="27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L869" s="29"/>
      <c r="M869" s="30"/>
      <c r="O869" s="27"/>
      <c r="P869" s="27"/>
      <c r="Q869" s="27"/>
      <c r="R869" s="27"/>
      <c r="S869" s="27"/>
      <c r="T869" s="27"/>
      <c r="U869" s="27"/>
      <c r="V869" s="27"/>
      <c r="W869" s="27"/>
      <c r="X869" s="27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L870" s="29"/>
      <c r="M870" s="30"/>
      <c r="O870" s="27"/>
      <c r="P870" s="27"/>
      <c r="Q870" s="27"/>
      <c r="R870" s="27"/>
      <c r="S870" s="27"/>
      <c r="T870" s="27"/>
      <c r="U870" s="27"/>
      <c r="V870" s="27"/>
      <c r="W870" s="27"/>
      <c r="X870" s="27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L871" s="29"/>
      <c r="M871" s="30"/>
      <c r="O871" s="27"/>
      <c r="P871" s="27"/>
      <c r="Q871" s="27"/>
      <c r="R871" s="27"/>
      <c r="S871" s="27"/>
      <c r="T871" s="27"/>
      <c r="U871" s="27"/>
      <c r="V871" s="27"/>
      <c r="W871" s="27"/>
      <c r="X871" s="27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L872" s="29"/>
      <c r="M872" s="30"/>
      <c r="O872" s="27"/>
      <c r="P872" s="27"/>
      <c r="Q872" s="27"/>
      <c r="R872" s="27"/>
      <c r="S872" s="27"/>
      <c r="T872" s="27"/>
      <c r="U872" s="27"/>
      <c r="V872" s="27"/>
      <c r="W872" s="27"/>
      <c r="X872" s="27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L873" s="29"/>
      <c r="M873" s="30"/>
      <c r="O873" s="27"/>
      <c r="P873" s="27"/>
      <c r="Q873" s="27"/>
      <c r="R873" s="27"/>
      <c r="S873" s="27"/>
      <c r="T873" s="27"/>
      <c r="U873" s="27"/>
      <c r="V873" s="27"/>
      <c r="W873" s="27"/>
      <c r="X873" s="27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L874" s="29"/>
      <c r="M874" s="30"/>
      <c r="O874" s="27"/>
      <c r="P874" s="27"/>
      <c r="Q874" s="27"/>
      <c r="R874" s="27"/>
      <c r="S874" s="27"/>
      <c r="T874" s="27"/>
      <c r="U874" s="27"/>
      <c r="V874" s="27"/>
      <c r="W874" s="27"/>
      <c r="X874" s="27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L875" s="29"/>
      <c r="M875" s="30"/>
      <c r="O875" s="27"/>
      <c r="P875" s="27"/>
      <c r="Q875" s="27"/>
      <c r="R875" s="27"/>
      <c r="S875" s="27"/>
      <c r="T875" s="27"/>
      <c r="U875" s="27"/>
      <c r="V875" s="27"/>
      <c r="W875" s="27"/>
      <c r="X875" s="27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L876" s="29"/>
      <c r="M876" s="30"/>
      <c r="O876" s="27"/>
      <c r="P876" s="27"/>
      <c r="Q876" s="27"/>
      <c r="R876" s="27"/>
      <c r="S876" s="27"/>
      <c r="T876" s="27"/>
      <c r="U876" s="27"/>
      <c r="V876" s="27"/>
      <c r="W876" s="27"/>
      <c r="X876" s="27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L877" s="29"/>
      <c r="M877" s="30"/>
      <c r="O877" s="27"/>
      <c r="P877" s="27"/>
      <c r="Q877" s="27"/>
      <c r="R877" s="27"/>
      <c r="S877" s="27"/>
      <c r="T877" s="27"/>
      <c r="U877" s="27"/>
      <c r="V877" s="27"/>
      <c r="W877" s="27"/>
      <c r="X877" s="27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L878" s="29"/>
      <c r="M878" s="30"/>
      <c r="O878" s="27"/>
      <c r="P878" s="27"/>
      <c r="Q878" s="27"/>
      <c r="R878" s="27"/>
      <c r="S878" s="27"/>
      <c r="T878" s="27"/>
      <c r="U878" s="27"/>
      <c r="V878" s="27"/>
      <c r="W878" s="27"/>
      <c r="X878" s="27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L879" s="29"/>
      <c r="M879" s="30"/>
      <c r="O879" s="27"/>
      <c r="P879" s="27"/>
      <c r="Q879" s="27"/>
      <c r="R879" s="27"/>
      <c r="S879" s="27"/>
      <c r="T879" s="27"/>
      <c r="U879" s="27"/>
      <c r="V879" s="27"/>
      <c r="W879" s="27"/>
      <c r="X879" s="27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L880" s="29"/>
      <c r="M880" s="30"/>
      <c r="O880" s="27"/>
      <c r="P880" s="27"/>
      <c r="Q880" s="27"/>
      <c r="R880" s="27"/>
      <c r="S880" s="27"/>
      <c r="T880" s="27"/>
      <c r="U880" s="27"/>
      <c r="V880" s="27"/>
      <c r="W880" s="27"/>
      <c r="X880" s="27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L881" s="29"/>
      <c r="M881" s="30"/>
      <c r="O881" s="27"/>
      <c r="P881" s="27"/>
      <c r="Q881" s="27"/>
      <c r="R881" s="27"/>
      <c r="S881" s="27"/>
      <c r="T881" s="27"/>
      <c r="U881" s="27"/>
      <c r="V881" s="27"/>
      <c r="W881" s="27"/>
      <c r="X881" s="27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L882" s="29"/>
      <c r="M882" s="30"/>
      <c r="O882" s="27"/>
      <c r="P882" s="27"/>
      <c r="Q882" s="27"/>
      <c r="R882" s="27"/>
      <c r="S882" s="27"/>
      <c r="T882" s="27"/>
      <c r="U882" s="27"/>
      <c r="V882" s="27"/>
      <c r="W882" s="27"/>
      <c r="X882" s="27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L883" s="29"/>
      <c r="M883" s="30"/>
      <c r="O883" s="27"/>
      <c r="P883" s="27"/>
      <c r="Q883" s="27"/>
      <c r="R883" s="27"/>
      <c r="S883" s="27"/>
      <c r="T883" s="27"/>
      <c r="U883" s="27"/>
      <c r="V883" s="27"/>
      <c r="W883" s="27"/>
      <c r="X883" s="27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L884" s="29"/>
      <c r="M884" s="30"/>
      <c r="O884" s="27"/>
      <c r="P884" s="27"/>
      <c r="Q884" s="27"/>
      <c r="R884" s="27"/>
      <c r="S884" s="27"/>
      <c r="T884" s="27"/>
      <c r="U884" s="27"/>
      <c r="V884" s="27"/>
      <c r="W884" s="27"/>
      <c r="X884" s="27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L885" s="29"/>
      <c r="M885" s="30"/>
      <c r="O885" s="27"/>
      <c r="P885" s="27"/>
      <c r="Q885" s="27"/>
      <c r="R885" s="27"/>
      <c r="S885" s="27"/>
      <c r="T885" s="27"/>
      <c r="U885" s="27"/>
      <c r="V885" s="27"/>
      <c r="W885" s="27"/>
      <c r="X885" s="27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L886" s="29"/>
      <c r="M886" s="30"/>
      <c r="O886" s="27"/>
      <c r="P886" s="27"/>
      <c r="Q886" s="27"/>
      <c r="R886" s="27"/>
      <c r="S886" s="27"/>
      <c r="T886" s="27"/>
      <c r="U886" s="27"/>
      <c r="V886" s="27"/>
      <c r="W886" s="27"/>
      <c r="X886" s="27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L887" s="29"/>
      <c r="M887" s="30"/>
      <c r="O887" s="27"/>
      <c r="P887" s="27"/>
      <c r="Q887" s="27"/>
      <c r="R887" s="27"/>
      <c r="S887" s="27"/>
      <c r="T887" s="27"/>
      <c r="U887" s="27"/>
      <c r="V887" s="27"/>
      <c r="W887" s="27"/>
      <c r="X887" s="27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L888" s="29"/>
      <c r="M888" s="30"/>
      <c r="O888" s="27"/>
      <c r="P888" s="27"/>
      <c r="Q888" s="27"/>
      <c r="R888" s="27"/>
      <c r="S888" s="27"/>
      <c r="T888" s="27"/>
      <c r="U888" s="27"/>
      <c r="V888" s="27"/>
      <c r="W888" s="27"/>
      <c r="X888" s="27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L889" s="29"/>
      <c r="M889" s="30"/>
      <c r="O889" s="27"/>
      <c r="P889" s="27"/>
      <c r="Q889" s="27"/>
      <c r="R889" s="27"/>
      <c r="S889" s="27"/>
      <c r="T889" s="27"/>
      <c r="U889" s="27"/>
      <c r="V889" s="27"/>
      <c r="W889" s="27"/>
      <c r="X889" s="27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L890" s="29"/>
      <c r="M890" s="30"/>
      <c r="O890" s="27"/>
      <c r="P890" s="27"/>
      <c r="Q890" s="27"/>
      <c r="R890" s="27"/>
      <c r="S890" s="27"/>
      <c r="T890" s="27"/>
      <c r="U890" s="27"/>
      <c r="V890" s="27"/>
      <c r="W890" s="27"/>
      <c r="X890" s="27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L891" s="29"/>
      <c r="M891" s="30"/>
      <c r="O891" s="27"/>
      <c r="P891" s="27"/>
      <c r="Q891" s="27"/>
      <c r="R891" s="27"/>
      <c r="S891" s="27"/>
      <c r="T891" s="27"/>
      <c r="U891" s="27"/>
      <c r="V891" s="27"/>
      <c r="W891" s="27"/>
      <c r="X891" s="27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L892" s="29"/>
      <c r="M892" s="30"/>
      <c r="O892" s="27"/>
      <c r="P892" s="27"/>
      <c r="Q892" s="27"/>
      <c r="R892" s="27"/>
      <c r="S892" s="27"/>
      <c r="T892" s="27"/>
      <c r="U892" s="27"/>
      <c r="V892" s="27"/>
      <c r="W892" s="27"/>
      <c r="X892" s="27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L893" s="29"/>
      <c r="M893" s="30"/>
      <c r="O893" s="27"/>
      <c r="P893" s="27"/>
      <c r="Q893" s="27"/>
      <c r="R893" s="27"/>
      <c r="S893" s="27"/>
      <c r="T893" s="27"/>
      <c r="U893" s="27"/>
      <c r="V893" s="27"/>
      <c r="W893" s="27"/>
      <c r="X893" s="27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L894" s="29"/>
      <c r="M894" s="30"/>
      <c r="O894" s="27"/>
      <c r="P894" s="27"/>
      <c r="Q894" s="27"/>
      <c r="R894" s="27"/>
      <c r="S894" s="27"/>
      <c r="T894" s="27"/>
      <c r="U894" s="27"/>
      <c r="V894" s="27"/>
      <c r="W894" s="27"/>
      <c r="X894" s="27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L895" s="29"/>
      <c r="M895" s="30"/>
      <c r="O895" s="27"/>
      <c r="P895" s="27"/>
      <c r="Q895" s="27"/>
      <c r="R895" s="27"/>
      <c r="S895" s="27"/>
      <c r="T895" s="27"/>
      <c r="U895" s="27"/>
      <c r="V895" s="27"/>
      <c r="W895" s="27"/>
      <c r="X895" s="27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L896" s="29"/>
      <c r="M896" s="30"/>
      <c r="O896" s="27"/>
      <c r="P896" s="27"/>
      <c r="Q896" s="27"/>
      <c r="R896" s="27"/>
      <c r="S896" s="27"/>
      <c r="T896" s="27"/>
      <c r="U896" s="27"/>
      <c r="V896" s="27"/>
      <c r="W896" s="27"/>
      <c r="X896" s="27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L897" s="29"/>
      <c r="M897" s="30"/>
      <c r="O897" s="27"/>
      <c r="P897" s="27"/>
      <c r="Q897" s="27"/>
      <c r="R897" s="27"/>
      <c r="S897" s="27"/>
      <c r="T897" s="27"/>
      <c r="U897" s="27"/>
      <c r="V897" s="27"/>
      <c r="W897" s="27"/>
      <c r="X897" s="27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L898" s="29"/>
      <c r="M898" s="30"/>
      <c r="O898" s="27"/>
      <c r="P898" s="27"/>
      <c r="Q898" s="27"/>
      <c r="R898" s="27"/>
      <c r="S898" s="27"/>
      <c r="T898" s="27"/>
      <c r="U898" s="27"/>
      <c r="V898" s="27"/>
      <c r="W898" s="27"/>
      <c r="X898" s="27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L899" s="29"/>
      <c r="M899" s="30"/>
      <c r="O899" s="27"/>
      <c r="P899" s="27"/>
      <c r="Q899" s="27"/>
      <c r="R899" s="27"/>
      <c r="S899" s="27"/>
      <c r="T899" s="27"/>
      <c r="U899" s="27"/>
      <c r="V899" s="27"/>
      <c r="W899" s="27"/>
      <c r="X899" s="27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L900" s="29"/>
      <c r="M900" s="30"/>
      <c r="O900" s="27"/>
      <c r="P900" s="27"/>
      <c r="Q900" s="27"/>
      <c r="R900" s="27"/>
      <c r="S900" s="27"/>
      <c r="T900" s="27"/>
      <c r="U900" s="27"/>
      <c r="V900" s="27"/>
      <c r="W900" s="27"/>
      <c r="X900" s="27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L901" s="29"/>
      <c r="M901" s="30"/>
      <c r="O901" s="27"/>
      <c r="P901" s="27"/>
      <c r="Q901" s="27"/>
      <c r="R901" s="27"/>
      <c r="S901" s="27"/>
      <c r="T901" s="27"/>
      <c r="U901" s="27"/>
      <c r="V901" s="27"/>
      <c r="W901" s="27"/>
      <c r="X901" s="27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L902" s="29"/>
      <c r="M902" s="30"/>
      <c r="O902" s="27"/>
      <c r="P902" s="27"/>
      <c r="Q902" s="27"/>
      <c r="R902" s="27"/>
      <c r="S902" s="27"/>
      <c r="T902" s="27"/>
      <c r="U902" s="27"/>
      <c r="V902" s="27"/>
      <c r="W902" s="27"/>
      <c r="X902" s="27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L903" s="29"/>
      <c r="M903" s="30"/>
      <c r="O903" s="27"/>
      <c r="P903" s="27"/>
      <c r="Q903" s="27"/>
      <c r="R903" s="27"/>
      <c r="S903" s="27"/>
      <c r="T903" s="27"/>
      <c r="U903" s="27"/>
      <c r="V903" s="27"/>
      <c r="W903" s="27"/>
      <c r="X903" s="27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L904" s="29"/>
      <c r="M904" s="30"/>
      <c r="O904" s="27"/>
      <c r="P904" s="27"/>
      <c r="Q904" s="27"/>
      <c r="R904" s="27"/>
      <c r="S904" s="27"/>
      <c r="T904" s="27"/>
      <c r="U904" s="27"/>
      <c r="V904" s="27"/>
      <c r="W904" s="27"/>
      <c r="X904" s="27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L905" s="29"/>
      <c r="M905" s="30"/>
      <c r="O905" s="27"/>
      <c r="P905" s="27"/>
      <c r="Q905" s="27"/>
      <c r="R905" s="27"/>
      <c r="S905" s="27"/>
      <c r="T905" s="27"/>
      <c r="U905" s="27"/>
      <c r="V905" s="27"/>
      <c r="W905" s="27"/>
      <c r="X905" s="27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L906" s="29"/>
      <c r="M906" s="30"/>
      <c r="O906" s="27"/>
      <c r="P906" s="27"/>
      <c r="Q906" s="27"/>
      <c r="R906" s="27"/>
      <c r="S906" s="27"/>
      <c r="T906" s="27"/>
      <c r="U906" s="27"/>
      <c r="V906" s="27"/>
      <c r="W906" s="27"/>
      <c r="X906" s="27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L907" s="29"/>
      <c r="M907" s="30"/>
      <c r="O907" s="27"/>
      <c r="P907" s="27"/>
      <c r="Q907" s="27"/>
      <c r="R907" s="27"/>
      <c r="S907" s="27"/>
      <c r="T907" s="27"/>
      <c r="U907" s="27"/>
      <c r="V907" s="27"/>
      <c r="W907" s="27"/>
      <c r="X907" s="27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L908" s="29"/>
      <c r="M908" s="30"/>
      <c r="O908" s="27"/>
      <c r="P908" s="27"/>
      <c r="Q908" s="27"/>
      <c r="R908" s="27"/>
      <c r="S908" s="27"/>
      <c r="T908" s="27"/>
      <c r="U908" s="27"/>
      <c r="V908" s="27"/>
      <c r="W908" s="27"/>
      <c r="X908" s="27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L909" s="29"/>
      <c r="M909" s="30"/>
      <c r="O909" s="27"/>
      <c r="P909" s="27"/>
      <c r="Q909" s="27"/>
      <c r="R909" s="27"/>
      <c r="S909" s="27"/>
      <c r="T909" s="27"/>
      <c r="U909" s="27"/>
      <c r="V909" s="27"/>
      <c r="W909" s="27"/>
      <c r="X909" s="27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L910" s="29"/>
      <c r="M910" s="30"/>
      <c r="O910" s="27"/>
      <c r="P910" s="27"/>
      <c r="Q910" s="27"/>
      <c r="R910" s="27"/>
      <c r="S910" s="27"/>
      <c r="T910" s="27"/>
      <c r="U910" s="27"/>
      <c r="V910" s="27"/>
      <c r="W910" s="27"/>
      <c r="X910" s="27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L911" s="29"/>
      <c r="M911" s="30"/>
      <c r="O911" s="27"/>
      <c r="P911" s="27"/>
      <c r="Q911" s="27"/>
      <c r="R911" s="27"/>
      <c r="S911" s="27"/>
      <c r="T911" s="27"/>
      <c r="U911" s="27"/>
      <c r="V911" s="27"/>
      <c r="W911" s="27"/>
      <c r="X911" s="27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L912" s="29"/>
      <c r="M912" s="30"/>
      <c r="O912" s="27"/>
      <c r="P912" s="27"/>
      <c r="Q912" s="27"/>
      <c r="R912" s="27"/>
      <c r="S912" s="27"/>
      <c r="T912" s="27"/>
      <c r="U912" s="27"/>
      <c r="V912" s="27"/>
      <c r="W912" s="27"/>
      <c r="X912" s="27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L913" s="29"/>
      <c r="M913" s="30"/>
      <c r="O913" s="27"/>
      <c r="P913" s="27"/>
      <c r="Q913" s="27"/>
      <c r="R913" s="27"/>
      <c r="S913" s="27"/>
      <c r="T913" s="27"/>
      <c r="U913" s="27"/>
      <c r="V913" s="27"/>
      <c r="W913" s="27"/>
      <c r="X913" s="27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L914" s="29"/>
      <c r="M914" s="30"/>
      <c r="O914" s="27"/>
      <c r="P914" s="27"/>
      <c r="Q914" s="27"/>
      <c r="R914" s="27"/>
      <c r="S914" s="27"/>
      <c r="T914" s="27"/>
      <c r="U914" s="27"/>
      <c r="V914" s="27"/>
      <c r="W914" s="27"/>
      <c r="X914" s="27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L915" s="29"/>
      <c r="M915" s="30"/>
      <c r="O915" s="27"/>
      <c r="P915" s="27"/>
      <c r="Q915" s="27"/>
      <c r="R915" s="27"/>
      <c r="S915" s="27"/>
      <c r="T915" s="27"/>
      <c r="U915" s="27"/>
      <c r="V915" s="27"/>
      <c r="W915" s="27"/>
      <c r="X915" s="27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L916" s="29"/>
      <c r="M916" s="30"/>
      <c r="O916" s="27"/>
      <c r="P916" s="27"/>
      <c r="Q916" s="27"/>
      <c r="R916" s="27"/>
      <c r="S916" s="27"/>
      <c r="T916" s="27"/>
      <c r="U916" s="27"/>
      <c r="V916" s="27"/>
      <c r="W916" s="27"/>
      <c r="X916" s="27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L917" s="29"/>
      <c r="M917" s="30"/>
      <c r="O917" s="27"/>
      <c r="P917" s="27"/>
      <c r="Q917" s="27"/>
      <c r="R917" s="27"/>
      <c r="S917" s="27"/>
      <c r="T917" s="27"/>
      <c r="U917" s="27"/>
      <c r="V917" s="27"/>
      <c r="W917" s="27"/>
      <c r="X917" s="27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L918" s="29"/>
      <c r="M918" s="30"/>
      <c r="O918" s="27"/>
      <c r="P918" s="27"/>
      <c r="Q918" s="27"/>
      <c r="R918" s="27"/>
      <c r="S918" s="27"/>
      <c r="T918" s="27"/>
      <c r="U918" s="27"/>
      <c r="V918" s="27"/>
      <c r="W918" s="27"/>
      <c r="X918" s="27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L919" s="29"/>
      <c r="M919" s="30"/>
      <c r="O919" s="27"/>
      <c r="P919" s="27"/>
      <c r="Q919" s="27"/>
      <c r="R919" s="27"/>
      <c r="S919" s="27"/>
      <c r="T919" s="27"/>
      <c r="U919" s="27"/>
      <c r="V919" s="27"/>
      <c r="W919" s="27"/>
      <c r="X919" s="27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L920" s="29"/>
      <c r="M920" s="30"/>
      <c r="O920" s="27"/>
      <c r="P920" s="27"/>
      <c r="Q920" s="27"/>
      <c r="R920" s="27"/>
      <c r="S920" s="27"/>
      <c r="T920" s="27"/>
      <c r="U920" s="27"/>
      <c r="V920" s="27"/>
      <c r="W920" s="27"/>
      <c r="X920" s="27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L921" s="29"/>
      <c r="M921" s="30"/>
      <c r="O921" s="27"/>
      <c r="P921" s="27"/>
      <c r="Q921" s="27"/>
      <c r="R921" s="27"/>
      <c r="S921" s="27"/>
      <c r="T921" s="27"/>
      <c r="U921" s="27"/>
      <c r="V921" s="27"/>
      <c r="W921" s="27"/>
      <c r="X921" s="27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L922" s="29"/>
      <c r="M922" s="30"/>
      <c r="O922" s="27"/>
      <c r="P922" s="27"/>
      <c r="Q922" s="27"/>
      <c r="R922" s="27"/>
      <c r="S922" s="27"/>
      <c r="T922" s="27"/>
      <c r="U922" s="27"/>
      <c r="V922" s="27"/>
      <c r="W922" s="27"/>
      <c r="X922" s="27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L923" s="29"/>
      <c r="M923" s="30"/>
      <c r="O923" s="27"/>
      <c r="P923" s="27"/>
      <c r="Q923" s="27"/>
      <c r="R923" s="27"/>
      <c r="S923" s="27"/>
      <c r="T923" s="27"/>
      <c r="U923" s="27"/>
      <c r="V923" s="27"/>
      <c r="W923" s="27"/>
      <c r="X923" s="27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L924" s="29"/>
      <c r="M924" s="30"/>
      <c r="O924" s="27"/>
      <c r="P924" s="27"/>
      <c r="Q924" s="27"/>
      <c r="R924" s="27"/>
      <c r="S924" s="27"/>
      <c r="T924" s="27"/>
      <c r="U924" s="27"/>
      <c r="V924" s="27"/>
      <c r="W924" s="27"/>
      <c r="X924" s="27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L925" s="29"/>
      <c r="M925" s="30"/>
      <c r="O925" s="27"/>
      <c r="P925" s="27"/>
      <c r="Q925" s="27"/>
      <c r="R925" s="27"/>
      <c r="S925" s="27"/>
      <c r="T925" s="27"/>
      <c r="U925" s="27"/>
      <c r="V925" s="27"/>
      <c r="W925" s="27"/>
      <c r="X925" s="27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L926" s="29"/>
      <c r="M926" s="30"/>
      <c r="O926" s="27"/>
      <c r="P926" s="27"/>
      <c r="Q926" s="27"/>
      <c r="R926" s="27"/>
      <c r="S926" s="27"/>
      <c r="T926" s="27"/>
      <c r="U926" s="27"/>
      <c r="V926" s="27"/>
      <c r="W926" s="27"/>
      <c r="X926" s="27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L927" s="29"/>
      <c r="M927" s="30"/>
      <c r="O927" s="27"/>
      <c r="P927" s="27"/>
      <c r="Q927" s="27"/>
      <c r="R927" s="27"/>
      <c r="S927" s="27"/>
      <c r="T927" s="27"/>
      <c r="U927" s="27"/>
      <c r="V927" s="27"/>
      <c r="W927" s="27"/>
      <c r="X927" s="27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L928" s="29"/>
      <c r="M928" s="30"/>
      <c r="O928" s="27"/>
      <c r="P928" s="27"/>
      <c r="Q928" s="27"/>
      <c r="R928" s="27"/>
      <c r="S928" s="27"/>
      <c r="T928" s="27"/>
      <c r="U928" s="27"/>
      <c r="V928" s="27"/>
      <c r="W928" s="27"/>
      <c r="X928" s="27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L929" s="29"/>
      <c r="M929" s="30"/>
      <c r="O929" s="27"/>
      <c r="P929" s="27"/>
      <c r="Q929" s="27"/>
      <c r="R929" s="27"/>
      <c r="S929" s="27"/>
      <c r="T929" s="27"/>
      <c r="U929" s="27"/>
      <c r="V929" s="27"/>
      <c r="W929" s="27"/>
      <c r="X929" s="27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L930" s="29"/>
      <c r="M930" s="30"/>
      <c r="O930" s="27"/>
      <c r="P930" s="27"/>
      <c r="Q930" s="27"/>
      <c r="R930" s="27"/>
      <c r="S930" s="27"/>
      <c r="T930" s="27"/>
      <c r="U930" s="27"/>
      <c r="V930" s="27"/>
      <c r="W930" s="27"/>
      <c r="X930" s="27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L931" s="29"/>
      <c r="M931" s="30"/>
      <c r="O931" s="27"/>
      <c r="P931" s="27"/>
      <c r="Q931" s="27"/>
      <c r="R931" s="27"/>
      <c r="S931" s="27"/>
      <c r="T931" s="27"/>
      <c r="U931" s="27"/>
      <c r="V931" s="27"/>
      <c r="W931" s="27"/>
      <c r="X931" s="27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L932" s="29"/>
      <c r="M932" s="30"/>
      <c r="O932" s="27"/>
      <c r="P932" s="27"/>
      <c r="Q932" s="27"/>
      <c r="R932" s="27"/>
      <c r="S932" s="27"/>
      <c r="T932" s="27"/>
      <c r="U932" s="27"/>
      <c r="V932" s="27"/>
      <c r="W932" s="27"/>
      <c r="X932" s="27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L933" s="29"/>
      <c r="M933" s="30"/>
      <c r="O933" s="27"/>
      <c r="P933" s="27"/>
      <c r="Q933" s="27"/>
      <c r="R933" s="27"/>
      <c r="S933" s="27"/>
      <c r="T933" s="27"/>
      <c r="U933" s="27"/>
      <c r="V933" s="27"/>
      <c r="W933" s="27"/>
      <c r="X933" s="27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L934" s="29"/>
      <c r="M934" s="30"/>
      <c r="O934" s="27"/>
      <c r="P934" s="27"/>
      <c r="Q934" s="27"/>
      <c r="R934" s="27"/>
      <c r="S934" s="27"/>
      <c r="T934" s="27"/>
      <c r="U934" s="27"/>
      <c r="V934" s="27"/>
      <c r="W934" s="27"/>
      <c r="X934" s="27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L935" s="29"/>
      <c r="M935" s="30"/>
      <c r="O935" s="27"/>
      <c r="P935" s="27"/>
      <c r="Q935" s="27"/>
      <c r="R935" s="27"/>
      <c r="S935" s="27"/>
      <c r="T935" s="27"/>
      <c r="U935" s="27"/>
      <c r="V935" s="27"/>
      <c r="W935" s="27"/>
      <c r="X935" s="27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L936" s="29"/>
      <c r="M936" s="30"/>
      <c r="O936" s="27"/>
      <c r="P936" s="27"/>
      <c r="Q936" s="27"/>
      <c r="R936" s="27"/>
      <c r="S936" s="27"/>
      <c r="T936" s="27"/>
      <c r="U936" s="27"/>
      <c r="V936" s="27"/>
      <c r="W936" s="27"/>
      <c r="X936" s="27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L937" s="29"/>
      <c r="M937" s="30"/>
      <c r="O937" s="27"/>
      <c r="P937" s="27"/>
      <c r="Q937" s="27"/>
      <c r="R937" s="27"/>
      <c r="S937" s="27"/>
      <c r="T937" s="27"/>
      <c r="U937" s="27"/>
      <c r="V937" s="27"/>
      <c r="W937" s="27"/>
      <c r="X937" s="27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L938" s="29"/>
      <c r="M938" s="30"/>
      <c r="O938" s="27"/>
      <c r="P938" s="27"/>
      <c r="Q938" s="27"/>
      <c r="R938" s="27"/>
      <c r="S938" s="27"/>
      <c r="T938" s="27"/>
      <c r="U938" s="27"/>
      <c r="V938" s="27"/>
      <c r="W938" s="27"/>
      <c r="X938" s="27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L939" s="29"/>
      <c r="M939" s="30"/>
      <c r="O939" s="27"/>
      <c r="P939" s="27"/>
      <c r="Q939" s="27"/>
      <c r="R939" s="27"/>
      <c r="S939" s="27"/>
      <c r="T939" s="27"/>
      <c r="U939" s="27"/>
      <c r="V939" s="27"/>
      <c r="W939" s="27"/>
      <c r="X939" s="27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L940" s="29"/>
      <c r="M940" s="30"/>
      <c r="O940" s="27"/>
      <c r="P940" s="27"/>
      <c r="Q940" s="27"/>
      <c r="R940" s="27"/>
      <c r="S940" s="27"/>
      <c r="T940" s="27"/>
      <c r="U940" s="27"/>
      <c r="V940" s="27"/>
      <c r="W940" s="27"/>
      <c r="X940" s="27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L941" s="29"/>
      <c r="M941" s="30"/>
      <c r="O941" s="27"/>
      <c r="P941" s="27"/>
      <c r="Q941" s="27"/>
      <c r="R941" s="27"/>
      <c r="S941" s="27"/>
      <c r="T941" s="27"/>
      <c r="U941" s="27"/>
      <c r="V941" s="27"/>
      <c r="W941" s="27"/>
      <c r="X941" s="27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L942" s="29"/>
      <c r="M942" s="30"/>
      <c r="O942" s="27"/>
      <c r="P942" s="27"/>
      <c r="Q942" s="27"/>
      <c r="R942" s="27"/>
      <c r="S942" s="27"/>
      <c r="T942" s="27"/>
      <c r="U942" s="27"/>
      <c r="V942" s="27"/>
      <c r="W942" s="27"/>
      <c r="X942" s="27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L943" s="29"/>
      <c r="M943" s="30"/>
      <c r="O943" s="27"/>
      <c r="P943" s="27"/>
      <c r="Q943" s="27"/>
      <c r="R943" s="27"/>
      <c r="S943" s="27"/>
      <c r="T943" s="27"/>
      <c r="U943" s="27"/>
      <c r="V943" s="27"/>
      <c r="W943" s="27"/>
      <c r="X943" s="27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L944" s="29"/>
      <c r="M944" s="30"/>
      <c r="O944" s="27"/>
      <c r="P944" s="27"/>
      <c r="Q944" s="27"/>
      <c r="R944" s="27"/>
      <c r="S944" s="27"/>
      <c r="T944" s="27"/>
      <c r="U944" s="27"/>
      <c r="V944" s="27"/>
      <c r="W944" s="27"/>
      <c r="X944" s="27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L945" s="29"/>
      <c r="M945" s="30"/>
      <c r="O945" s="27"/>
      <c r="P945" s="27"/>
      <c r="Q945" s="27"/>
      <c r="R945" s="27"/>
      <c r="S945" s="27"/>
      <c r="T945" s="27"/>
      <c r="U945" s="27"/>
      <c r="V945" s="27"/>
      <c r="W945" s="27"/>
      <c r="X945" s="27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L946" s="29"/>
      <c r="M946" s="30"/>
      <c r="O946" s="27"/>
      <c r="P946" s="27"/>
      <c r="Q946" s="27"/>
      <c r="R946" s="27"/>
      <c r="S946" s="27"/>
      <c r="T946" s="27"/>
      <c r="U946" s="27"/>
      <c r="V946" s="27"/>
      <c r="W946" s="27"/>
      <c r="X946" s="27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L947" s="29"/>
      <c r="M947" s="30"/>
      <c r="O947" s="27"/>
      <c r="P947" s="27"/>
      <c r="Q947" s="27"/>
      <c r="R947" s="27"/>
      <c r="S947" s="27"/>
      <c r="T947" s="27"/>
      <c r="U947" s="27"/>
      <c r="V947" s="27"/>
      <c r="W947" s="27"/>
      <c r="X947" s="27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L948" s="29"/>
      <c r="M948" s="30"/>
      <c r="O948" s="27"/>
      <c r="P948" s="27"/>
      <c r="Q948" s="27"/>
      <c r="R948" s="27"/>
      <c r="S948" s="27"/>
      <c r="T948" s="27"/>
      <c r="U948" s="27"/>
      <c r="V948" s="27"/>
      <c r="W948" s="27"/>
      <c r="X948" s="27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L949" s="29"/>
      <c r="M949" s="30"/>
      <c r="O949" s="27"/>
      <c r="P949" s="27"/>
      <c r="Q949" s="27"/>
      <c r="R949" s="27"/>
      <c r="S949" s="27"/>
      <c r="T949" s="27"/>
      <c r="U949" s="27"/>
      <c r="V949" s="27"/>
      <c r="W949" s="27"/>
      <c r="X949" s="27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L950" s="29"/>
      <c r="M950" s="30"/>
      <c r="O950" s="27"/>
      <c r="P950" s="27"/>
      <c r="Q950" s="27"/>
      <c r="R950" s="27"/>
      <c r="S950" s="27"/>
      <c r="T950" s="27"/>
      <c r="U950" s="27"/>
      <c r="V950" s="27"/>
      <c r="W950" s="27"/>
      <c r="X950" s="27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L951" s="29"/>
      <c r="M951" s="30"/>
      <c r="O951" s="27"/>
      <c r="P951" s="27"/>
      <c r="Q951" s="27"/>
      <c r="R951" s="27"/>
      <c r="S951" s="27"/>
      <c r="T951" s="27"/>
      <c r="U951" s="27"/>
      <c r="V951" s="27"/>
      <c r="W951" s="27"/>
      <c r="X951" s="27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L952" s="29"/>
      <c r="M952" s="30"/>
      <c r="O952" s="27"/>
      <c r="P952" s="27"/>
      <c r="Q952" s="27"/>
      <c r="R952" s="27"/>
      <c r="S952" s="27"/>
      <c r="T952" s="27"/>
      <c r="U952" s="27"/>
      <c r="V952" s="27"/>
      <c r="W952" s="27"/>
      <c r="X952" s="27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L953" s="29"/>
      <c r="M953" s="30"/>
      <c r="O953" s="27"/>
      <c r="P953" s="27"/>
      <c r="Q953" s="27"/>
      <c r="R953" s="27"/>
      <c r="S953" s="27"/>
      <c r="T953" s="27"/>
      <c r="U953" s="27"/>
      <c r="V953" s="27"/>
      <c r="W953" s="27"/>
      <c r="X953" s="27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L954" s="29"/>
      <c r="M954" s="30"/>
      <c r="O954" s="27"/>
      <c r="P954" s="27"/>
      <c r="Q954" s="27"/>
      <c r="R954" s="27"/>
      <c r="S954" s="27"/>
      <c r="T954" s="27"/>
      <c r="U954" s="27"/>
      <c r="V954" s="27"/>
      <c r="W954" s="27"/>
      <c r="X954" s="27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L955" s="29"/>
      <c r="M955" s="30"/>
      <c r="O955" s="27"/>
      <c r="P955" s="27"/>
      <c r="Q955" s="27"/>
      <c r="R955" s="27"/>
      <c r="S955" s="27"/>
      <c r="T955" s="27"/>
      <c r="U955" s="27"/>
      <c r="V955" s="27"/>
      <c r="W955" s="27"/>
      <c r="X955" s="27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L956" s="29"/>
      <c r="M956" s="30"/>
      <c r="O956" s="27"/>
      <c r="P956" s="27"/>
      <c r="Q956" s="27"/>
      <c r="R956" s="27"/>
      <c r="S956" s="27"/>
      <c r="T956" s="27"/>
      <c r="U956" s="27"/>
      <c r="V956" s="27"/>
      <c r="W956" s="27"/>
      <c r="X956" s="27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L957" s="29"/>
      <c r="M957" s="30"/>
      <c r="O957" s="27"/>
      <c r="P957" s="27"/>
      <c r="Q957" s="27"/>
      <c r="R957" s="27"/>
      <c r="S957" s="27"/>
      <c r="T957" s="27"/>
      <c r="U957" s="27"/>
      <c r="V957" s="27"/>
      <c r="W957" s="27"/>
      <c r="X957" s="27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L958" s="29"/>
      <c r="M958" s="30"/>
      <c r="O958" s="27"/>
      <c r="P958" s="27"/>
      <c r="Q958" s="27"/>
      <c r="R958" s="27"/>
      <c r="S958" s="27"/>
      <c r="T958" s="27"/>
      <c r="U958" s="27"/>
      <c r="V958" s="27"/>
      <c r="W958" s="27"/>
      <c r="X958" s="27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L959" s="29"/>
      <c r="M959" s="30"/>
      <c r="O959" s="27"/>
      <c r="P959" s="27"/>
      <c r="Q959" s="27"/>
      <c r="R959" s="27"/>
      <c r="S959" s="27"/>
      <c r="T959" s="27"/>
      <c r="U959" s="27"/>
      <c r="V959" s="27"/>
      <c r="W959" s="27"/>
      <c r="X959" s="27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L960" s="29"/>
      <c r="M960" s="30"/>
      <c r="O960" s="27"/>
      <c r="P960" s="27"/>
      <c r="Q960" s="27"/>
      <c r="R960" s="27"/>
      <c r="S960" s="27"/>
      <c r="T960" s="27"/>
      <c r="U960" s="27"/>
      <c r="V960" s="27"/>
      <c r="W960" s="27"/>
      <c r="X960" s="27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L961" s="29"/>
      <c r="M961" s="30"/>
      <c r="O961" s="27"/>
      <c r="P961" s="27"/>
      <c r="Q961" s="27"/>
      <c r="R961" s="27"/>
      <c r="S961" s="27"/>
      <c r="T961" s="27"/>
      <c r="U961" s="27"/>
      <c r="V961" s="27"/>
      <c r="W961" s="27"/>
      <c r="X961" s="27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L962" s="29"/>
      <c r="M962" s="30"/>
      <c r="O962" s="27"/>
      <c r="P962" s="27"/>
      <c r="Q962" s="27"/>
      <c r="R962" s="27"/>
      <c r="S962" s="27"/>
      <c r="T962" s="27"/>
      <c r="U962" s="27"/>
      <c r="V962" s="27"/>
      <c r="W962" s="27"/>
      <c r="X962" s="27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L963" s="29"/>
      <c r="M963" s="30"/>
      <c r="O963" s="27"/>
      <c r="P963" s="27"/>
      <c r="Q963" s="27"/>
      <c r="R963" s="27"/>
      <c r="S963" s="27"/>
      <c r="T963" s="27"/>
      <c r="U963" s="27"/>
      <c r="V963" s="27"/>
      <c r="W963" s="27"/>
      <c r="X963" s="27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L964" s="29"/>
      <c r="M964" s="30"/>
      <c r="O964" s="27"/>
      <c r="P964" s="27"/>
      <c r="Q964" s="27"/>
      <c r="R964" s="27"/>
      <c r="S964" s="27"/>
      <c r="T964" s="27"/>
      <c r="U964" s="27"/>
      <c r="V964" s="27"/>
      <c r="W964" s="27"/>
      <c r="X964" s="27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L965" s="29"/>
      <c r="M965" s="30"/>
      <c r="O965" s="27"/>
      <c r="P965" s="27"/>
      <c r="Q965" s="27"/>
      <c r="R965" s="27"/>
      <c r="S965" s="27"/>
      <c r="T965" s="27"/>
      <c r="U965" s="27"/>
      <c r="V965" s="27"/>
      <c r="W965" s="27"/>
      <c r="X965" s="27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L966" s="29"/>
      <c r="M966" s="30"/>
      <c r="O966" s="27"/>
      <c r="P966" s="27"/>
      <c r="Q966" s="27"/>
      <c r="R966" s="27"/>
      <c r="S966" s="27"/>
      <c r="T966" s="27"/>
      <c r="U966" s="27"/>
      <c r="V966" s="27"/>
      <c r="W966" s="27"/>
      <c r="X966" s="27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L967" s="29"/>
      <c r="M967" s="30"/>
      <c r="O967" s="27"/>
      <c r="P967" s="27"/>
      <c r="Q967" s="27"/>
      <c r="R967" s="27"/>
      <c r="S967" s="27"/>
      <c r="T967" s="27"/>
      <c r="U967" s="27"/>
      <c r="V967" s="27"/>
      <c r="W967" s="27"/>
      <c r="X967" s="27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L968" s="29"/>
      <c r="M968" s="30"/>
      <c r="O968" s="27"/>
      <c r="P968" s="27"/>
      <c r="Q968" s="27"/>
      <c r="R968" s="27"/>
      <c r="S968" s="27"/>
      <c r="T968" s="27"/>
      <c r="U968" s="27"/>
      <c r="V968" s="27"/>
      <c r="W968" s="27"/>
      <c r="X968" s="27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L969" s="29"/>
      <c r="M969" s="30"/>
      <c r="O969" s="27"/>
      <c r="P969" s="27"/>
      <c r="Q969" s="27"/>
      <c r="R969" s="27"/>
      <c r="S969" s="27"/>
      <c r="T969" s="27"/>
      <c r="U969" s="27"/>
      <c r="V969" s="27"/>
      <c r="W969" s="27"/>
      <c r="X969" s="27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L970" s="29"/>
      <c r="M970" s="30"/>
      <c r="O970" s="27"/>
      <c r="P970" s="27"/>
      <c r="Q970" s="27"/>
      <c r="R970" s="27"/>
      <c r="S970" s="27"/>
      <c r="T970" s="27"/>
      <c r="U970" s="27"/>
      <c r="V970" s="27"/>
      <c r="W970" s="27"/>
      <c r="X970" s="27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L971" s="29"/>
      <c r="M971" s="30"/>
      <c r="O971" s="27"/>
      <c r="P971" s="27"/>
      <c r="Q971" s="27"/>
      <c r="R971" s="27"/>
      <c r="S971" s="27"/>
      <c r="T971" s="27"/>
      <c r="U971" s="27"/>
      <c r="V971" s="27"/>
      <c r="W971" s="27"/>
      <c r="X971" s="27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L972" s="29"/>
      <c r="M972" s="30"/>
      <c r="O972" s="27"/>
      <c r="P972" s="27"/>
      <c r="Q972" s="27"/>
      <c r="R972" s="27"/>
      <c r="S972" s="27"/>
      <c r="T972" s="27"/>
      <c r="U972" s="27"/>
      <c r="V972" s="27"/>
      <c r="W972" s="27"/>
      <c r="X972" s="27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L973" s="29"/>
      <c r="M973" s="30"/>
      <c r="O973" s="27"/>
      <c r="P973" s="27"/>
      <c r="Q973" s="27"/>
      <c r="R973" s="27"/>
      <c r="S973" s="27"/>
      <c r="T973" s="27"/>
      <c r="U973" s="27"/>
      <c r="V973" s="27"/>
      <c r="W973" s="27"/>
      <c r="X973" s="27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L974" s="29"/>
      <c r="M974" s="30"/>
      <c r="O974" s="27"/>
      <c r="P974" s="27"/>
      <c r="Q974" s="27"/>
      <c r="R974" s="27"/>
      <c r="S974" s="27"/>
      <c r="T974" s="27"/>
      <c r="U974" s="27"/>
      <c r="V974" s="27"/>
      <c r="W974" s="27"/>
      <c r="X974" s="27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L975" s="29"/>
      <c r="M975" s="30"/>
      <c r="O975" s="27"/>
      <c r="P975" s="27"/>
      <c r="Q975" s="27"/>
      <c r="R975" s="27"/>
      <c r="S975" s="27"/>
      <c r="T975" s="27"/>
      <c r="U975" s="27"/>
      <c r="V975" s="27"/>
      <c r="W975" s="27"/>
      <c r="X975" s="27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L976" s="29"/>
      <c r="M976" s="30"/>
      <c r="O976" s="27"/>
      <c r="P976" s="27"/>
      <c r="Q976" s="27"/>
      <c r="R976" s="27"/>
      <c r="S976" s="27"/>
      <c r="T976" s="27"/>
      <c r="U976" s="27"/>
      <c r="V976" s="27"/>
      <c r="W976" s="27"/>
      <c r="X976" s="27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L977" s="29"/>
      <c r="M977" s="30"/>
      <c r="O977" s="27"/>
      <c r="P977" s="27"/>
      <c r="Q977" s="27"/>
      <c r="R977" s="27"/>
      <c r="S977" s="27"/>
      <c r="T977" s="27"/>
      <c r="U977" s="27"/>
      <c r="V977" s="27"/>
      <c r="W977" s="27"/>
      <c r="X977" s="27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L978" s="29"/>
      <c r="M978" s="30"/>
      <c r="O978" s="27"/>
      <c r="P978" s="27"/>
      <c r="Q978" s="27"/>
      <c r="R978" s="27"/>
      <c r="S978" s="27"/>
      <c r="T978" s="27"/>
      <c r="U978" s="27"/>
      <c r="V978" s="27"/>
      <c r="W978" s="27"/>
      <c r="X978" s="27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L979" s="29"/>
      <c r="M979" s="30"/>
      <c r="O979" s="27"/>
      <c r="P979" s="27"/>
      <c r="Q979" s="27"/>
      <c r="R979" s="27"/>
      <c r="S979" s="27"/>
      <c r="T979" s="27"/>
      <c r="U979" s="27"/>
      <c r="V979" s="27"/>
      <c r="W979" s="27"/>
      <c r="X979" s="27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L980" s="29"/>
      <c r="M980" s="30"/>
      <c r="O980" s="27"/>
      <c r="P980" s="27"/>
      <c r="Q980" s="27"/>
      <c r="R980" s="27"/>
      <c r="S980" s="27"/>
      <c r="T980" s="27"/>
      <c r="U980" s="27"/>
      <c r="V980" s="27"/>
      <c r="W980" s="27"/>
      <c r="X980" s="27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L981" s="29"/>
      <c r="M981" s="30"/>
      <c r="O981" s="27"/>
      <c r="P981" s="27"/>
      <c r="Q981" s="27"/>
      <c r="R981" s="27"/>
      <c r="S981" s="27"/>
      <c r="T981" s="27"/>
      <c r="U981" s="27"/>
      <c r="V981" s="27"/>
      <c r="W981" s="27"/>
      <c r="X981" s="27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L982" s="29"/>
      <c r="M982" s="30"/>
      <c r="O982" s="27"/>
      <c r="P982" s="27"/>
      <c r="Q982" s="27"/>
      <c r="R982" s="27"/>
      <c r="S982" s="27"/>
      <c r="T982" s="27"/>
      <c r="U982" s="27"/>
      <c r="V982" s="27"/>
      <c r="W982" s="27"/>
      <c r="X982" s="27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L983" s="29"/>
      <c r="M983" s="30"/>
      <c r="O983" s="27"/>
      <c r="P983" s="27"/>
      <c r="Q983" s="27"/>
      <c r="R983" s="27"/>
      <c r="S983" s="27"/>
      <c r="T983" s="27"/>
      <c r="U983" s="27"/>
      <c r="V983" s="27"/>
      <c r="W983" s="27"/>
      <c r="X983" s="27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L984" s="29"/>
      <c r="M984" s="30"/>
      <c r="O984" s="27"/>
      <c r="P984" s="27"/>
      <c r="Q984" s="27"/>
      <c r="R984" s="27"/>
      <c r="S984" s="27"/>
      <c r="T984" s="27"/>
      <c r="U984" s="27"/>
      <c r="V984" s="27"/>
      <c r="W984" s="27"/>
      <c r="X984" s="27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L985" s="29"/>
      <c r="M985" s="30"/>
      <c r="O985" s="27"/>
      <c r="P985" s="27"/>
      <c r="Q985" s="27"/>
      <c r="R985" s="27"/>
      <c r="S985" s="27"/>
      <c r="T985" s="27"/>
      <c r="U985" s="27"/>
      <c r="V985" s="27"/>
      <c r="W985" s="27"/>
      <c r="X985" s="27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L986" s="29"/>
      <c r="M986" s="30"/>
      <c r="O986" s="27"/>
      <c r="P986" s="27"/>
      <c r="Q986" s="27"/>
      <c r="R986" s="27"/>
      <c r="S986" s="27"/>
      <c r="T986" s="27"/>
      <c r="U986" s="27"/>
      <c r="V986" s="27"/>
      <c r="W986" s="27"/>
      <c r="X986" s="27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L987" s="29"/>
      <c r="M987" s="30"/>
      <c r="O987" s="27"/>
      <c r="P987" s="27"/>
      <c r="Q987" s="27"/>
      <c r="R987" s="27"/>
      <c r="S987" s="27"/>
      <c r="T987" s="27"/>
      <c r="U987" s="27"/>
      <c r="V987" s="27"/>
      <c r="W987" s="27"/>
      <c r="X987" s="27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L988" s="29"/>
      <c r="M988" s="30"/>
      <c r="O988" s="27"/>
      <c r="P988" s="27"/>
      <c r="Q988" s="27"/>
      <c r="R988" s="27"/>
      <c r="S988" s="27"/>
      <c r="T988" s="27"/>
      <c r="U988" s="27"/>
      <c r="V988" s="27"/>
      <c r="W988" s="27"/>
      <c r="X988" s="27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L989" s="29"/>
      <c r="M989" s="30"/>
      <c r="O989" s="27"/>
      <c r="P989" s="27"/>
      <c r="Q989" s="27"/>
      <c r="R989" s="27"/>
      <c r="S989" s="27"/>
      <c r="T989" s="27"/>
      <c r="U989" s="27"/>
      <c r="V989" s="27"/>
      <c r="W989" s="27"/>
      <c r="X989" s="27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L990" s="29"/>
      <c r="M990" s="30"/>
      <c r="O990" s="27"/>
      <c r="P990" s="27"/>
      <c r="Q990" s="27"/>
      <c r="R990" s="27"/>
      <c r="S990" s="27"/>
      <c r="T990" s="27"/>
      <c r="U990" s="27"/>
      <c r="V990" s="27"/>
      <c r="W990" s="27"/>
      <c r="X990" s="27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L991" s="29"/>
      <c r="M991" s="30"/>
      <c r="O991" s="27"/>
      <c r="P991" s="27"/>
      <c r="Q991" s="27"/>
      <c r="R991" s="27"/>
      <c r="S991" s="27"/>
      <c r="T991" s="27"/>
      <c r="U991" s="27"/>
      <c r="V991" s="27"/>
      <c r="W991" s="27"/>
      <c r="X991" s="27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L992" s="29"/>
      <c r="M992" s="30"/>
      <c r="O992" s="27"/>
      <c r="P992" s="27"/>
      <c r="Q992" s="27"/>
      <c r="R992" s="27"/>
      <c r="S992" s="27"/>
      <c r="T992" s="27"/>
      <c r="U992" s="27"/>
      <c r="V992" s="27"/>
      <c r="W992" s="27"/>
      <c r="X992" s="27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L993" s="29"/>
      <c r="M993" s="30"/>
      <c r="O993" s="27"/>
      <c r="P993" s="27"/>
      <c r="Q993" s="27"/>
      <c r="R993" s="27"/>
      <c r="S993" s="27"/>
      <c r="T993" s="27"/>
      <c r="U993" s="27"/>
      <c r="V993" s="27"/>
      <c r="W993" s="27"/>
      <c r="X993" s="27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L994" s="29"/>
      <c r="M994" s="30"/>
      <c r="O994" s="27"/>
      <c r="P994" s="27"/>
      <c r="Q994" s="27"/>
      <c r="R994" s="27"/>
      <c r="S994" s="27"/>
      <c r="T994" s="27"/>
      <c r="U994" s="27"/>
      <c r="V994" s="27"/>
      <c r="W994" s="27"/>
      <c r="X994" s="27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L995" s="29"/>
      <c r="M995" s="30"/>
      <c r="O995" s="27"/>
      <c r="P995" s="27"/>
      <c r="Q995" s="27"/>
      <c r="R995" s="27"/>
      <c r="S995" s="27"/>
      <c r="T995" s="27"/>
      <c r="U995" s="27"/>
      <c r="V995" s="27"/>
      <c r="W995" s="27"/>
      <c r="X995" s="27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L996" s="29"/>
      <c r="M996" s="30"/>
      <c r="O996" s="27"/>
      <c r="P996" s="27"/>
      <c r="Q996" s="27"/>
      <c r="R996" s="27"/>
      <c r="S996" s="27"/>
      <c r="T996" s="27"/>
      <c r="U996" s="27"/>
      <c r="V996" s="27"/>
      <c r="W996" s="27"/>
      <c r="X996" s="27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L997" s="29"/>
      <c r="M997" s="30"/>
      <c r="O997" s="27"/>
      <c r="P997" s="27"/>
      <c r="Q997" s="27"/>
      <c r="R997" s="27"/>
      <c r="S997" s="27"/>
      <c r="T997" s="27"/>
      <c r="U997" s="27"/>
      <c r="V997" s="27"/>
      <c r="W997" s="27"/>
      <c r="X997" s="27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L998" s="29"/>
      <c r="M998" s="30"/>
      <c r="O998" s="27"/>
      <c r="P998" s="27"/>
      <c r="Q998" s="27"/>
      <c r="R998" s="27"/>
      <c r="S998" s="27"/>
      <c r="T998" s="27"/>
      <c r="U998" s="27"/>
      <c r="V998" s="27"/>
      <c r="W998" s="27"/>
      <c r="X998" s="27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L999" s="29"/>
      <c r="M999" s="30"/>
      <c r="O999" s="27"/>
      <c r="P999" s="27"/>
      <c r="Q999" s="27"/>
      <c r="R999" s="27"/>
      <c r="S999" s="27"/>
      <c r="T999" s="27"/>
      <c r="U999" s="27"/>
      <c r="V999" s="27"/>
      <c r="W999" s="27"/>
      <c r="X999" s="27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L1000" s="29"/>
      <c r="M1000" s="30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</row>
  </sheetData>
  <mergeCells count="3">
    <mergeCell ref="L1:M1"/>
    <mergeCell ref="L2:M2"/>
    <mergeCell ref="L19:M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7.0"/>
  </cols>
  <sheetData>
    <row r="1">
      <c r="A1" s="32" t="s">
        <v>19</v>
      </c>
      <c r="B1" s="33" t="s">
        <v>20</v>
      </c>
      <c r="C1" s="33" t="s">
        <v>21</v>
      </c>
      <c r="D1" s="33" t="s">
        <v>22</v>
      </c>
      <c r="E1" s="33" t="s">
        <v>23</v>
      </c>
      <c r="F1" s="33" t="s">
        <v>24</v>
      </c>
      <c r="G1" s="33" t="s">
        <v>25</v>
      </c>
      <c r="H1" s="33" t="s">
        <v>26</v>
      </c>
      <c r="I1" s="33" t="s">
        <v>27</v>
      </c>
      <c r="J1" s="33" t="s">
        <v>28</v>
      </c>
      <c r="K1" s="34"/>
      <c r="L1" s="35" t="s">
        <v>30</v>
      </c>
      <c r="Q1" s="34"/>
      <c r="R1" s="34"/>
      <c r="S1" s="34"/>
      <c r="T1" s="34"/>
      <c r="U1" s="34"/>
      <c r="V1" s="34"/>
      <c r="W1" s="34"/>
      <c r="X1" s="34"/>
    </row>
    <row r="2">
      <c r="A2" s="36">
        <v>-0.04</v>
      </c>
      <c r="B2" s="37">
        <v>-0.63</v>
      </c>
      <c r="C2" s="37">
        <v>0.0</v>
      </c>
      <c r="D2" s="37">
        <v>2.08</v>
      </c>
      <c r="E2" s="37">
        <v>1.13</v>
      </c>
      <c r="F2" s="37">
        <v>-0.49</v>
      </c>
      <c r="G2" s="37">
        <v>-0.6</v>
      </c>
      <c r="H2" s="37">
        <v>0.26</v>
      </c>
      <c r="I2" s="37">
        <v>-0.23</v>
      </c>
      <c r="J2" s="37">
        <v>-0.23</v>
      </c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>
      <c r="A3" s="36">
        <v>1.74</v>
      </c>
      <c r="B3" s="37">
        <v>-0.87</v>
      </c>
      <c r="C3" s="37">
        <v>-0.93</v>
      </c>
      <c r="D3" s="37">
        <v>-0.74</v>
      </c>
      <c r="E3" s="37">
        <v>-0.67</v>
      </c>
      <c r="F3" s="37">
        <v>-0.41</v>
      </c>
      <c r="G3" s="37">
        <v>1.09</v>
      </c>
      <c r="H3" s="37">
        <v>-1.37</v>
      </c>
      <c r="I3" s="37">
        <v>-1.84</v>
      </c>
      <c r="J3" s="37">
        <v>1.7</v>
      </c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>
      <c r="A4" s="36">
        <v>0.28</v>
      </c>
      <c r="B4" s="37">
        <v>0.35</v>
      </c>
      <c r="C4" s="37">
        <v>-0.73</v>
      </c>
      <c r="D4" s="37">
        <v>-0.59</v>
      </c>
      <c r="E4" s="37">
        <v>-0.29</v>
      </c>
      <c r="F4" s="37">
        <v>1.27</v>
      </c>
      <c r="G4" s="37">
        <v>1.49</v>
      </c>
      <c r="H4" s="37">
        <v>0.64</v>
      </c>
      <c r="I4" s="37">
        <v>-0.04</v>
      </c>
      <c r="J4" s="37">
        <v>-0.78</v>
      </c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>
      <c r="A5" s="36">
        <v>-1.22</v>
      </c>
      <c r="B5" s="37">
        <v>-0.51</v>
      </c>
      <c r="C5" s="37">
        <v>-0.53</v>
      </c>
      <c r="D5" s="37">
        <v>-0.73</v>
      </c>
      <c r="E5" s="37">
        <v>-0.23</v>
      </c>
      <c r="F5" s="37">
        <v>1.0</v>
      </c>
      <c r="G5" s="37">
        <v>0.97</v>
      </c>
      <c r="H5" s="37">
        <v>0.28</v>
      </c>
      <c r="I5" s="37">
        <v>0.8</v>
      </c>
      <c r="J5" s="37">
        <v>-1.35</v>
      </c>
      <c r="K5" s="34"/>
      <c r="L5" s="34"/>
      <c r="M5" s="35" t="s">
        <v>19</v>
      </c>
      <c r="N5" s="35" t="s">
        <v>20</v>
      </c>
      <c r="O5" s="35" t="s">
        <v>21</v>
      </c>
      <c r="P5" s="35" t="s">
        <v>22</v>
      </c>
      <c r="Q5" s="35" t="s">
        <v>23</v>
      </c>
      <c r="R5" s="35" t="s">
        <v>24</v>
      </c>
      <c r="S5" s="35" t="s">
        <v>25</v>
      </c>
      <c r="T5" s="35" t="s">
        <v>26</v>
      </c>
      <c r="U5" s="35" t="s">
        <v>27</v>
      </c>
      <c r="V5" s="35" t="s">
        <v>28</v>
      </c>
      <c r="W5" s="34"/>
      <c r="X5" s="34"/>
    </row>
    <row r="6">
      <c r="A6" s="36">
        <v>-0.78</v>
      </c>
      <c r="B6" s="37">
        <v>1.32</v>
      </c>
      <c r="C6" s="37">
        <v>1.04</v>
      </c>
      <c r="D6" s="37">
        <v>-0.24</v>
      </c>
      <c r="E6" s="37">
        <v>-0.31</v>
      </c>
      <c r="F6" s="37">
        <v>-1.04</v>
      </c>
      <c r="G6" s="37">
        <v>-1.09</v>
      </c>
      <c r="H6" s="37">
        <v>0.77</v>
      </c>
      <c r="I6" s="37">
        <v>1.04</v>
      </c>
      <c r="J6" s="37">
        <v>-0.15</v>
      </c>
      <c r="K6" s="34"/>
      <c r="L6" s="35" t="s">
        <v>31</v>
      </c>
      <c r="M6" s="38">
        <v>0.0</v>
      </c>
      <c r="N6" s="39">
        <v>0.0</v>
      </c>
      <c r="O6" s="39">
        <v>0.0</v>
      </c>
      <c r="P6" s="39">
        <v>0.0</v>
      </c>
      <c r="Q6" s="39">
        <v>0.0</v>
      </c>
      <c r="R6" s="39">
        <v>0.0</v>
      </c>
      <c r="S6" s="39">
        <v>-0.01</v>
      </c>
      <c r="T6" s="39">
        <v>-0.01</v>
      </c>
      <c r="U6" s="39">
        <v>-0.01</v>
      </c>
      <c r="V6" s="40">
        <v>-0.01</v>
      </c>
      <c r="W6" s="34"/>
      <c r="X6" s="34"/>
    </row>
    <row r="7">
      <c r="A7" s="36">
        <v>-0.72</v>
      </c>
      <c r="B7" s="37">
        <v>0.63</v>
      </c>
      <c r="C7" s="37">
        <v>2.67</v>
      </c>
      <c r="D7" s="37">
        <v>-0.68</v>
      </c>
      <c r="E7" s="37">
        <v>-0.37</v>
      </c>
      <c r="F7" s="37">
        <v>-0.81</v>
      </c>
      <c r="G7" s="37">
        <v>-1.01</v>
      </c>
      <c r="H7" s="37">
        <v>0.64</v>
      </c>
      <c r="I7" s="37">
        <v>0.92</v>
      </c>
      <c r="J7" s="37">
        <v>-0.7</v>
      </c>
      <c r="K7" s="34"/>
      <c r="L7" s="35" t="s">
        <v>32</v>
      </c>
      <c r="M7" s="41">
        <v>1.000848</v>
      </c>
      <c r="N7" s="42">
        <v>1.001834</v>
      </c>
      <c r="O7" s="42">
        <v>1.000114</v>
      </c>
      <c r="P7" s="42">
        <v>1.000346</v>
      </c>
      <c r="Q7" s="42">
        <v>0.999492</v>
      </c>
      <c r="R7" s="42">
        <v>1.001194</v>
      </c>
      <c r="S7" s="42">
        <v>1.004388</v>
      </c>
      <c r="T7" s="42">
        <v>1.003687</v>
      </c>
      <c r="U7" s="42">
        <v>1.005067</v>
      </c>
      <c r="V7" s="43">
        <v>1.009087</v>
      </c>
      <c r="W7" s="34"/>
      <c r="X7" s="34"/>
    </row>
    <row r="8">
      <c r="A8" s="36">
        <v>-1.04</v>
      </c>
      <c r="B8" s="37">
        <v>1.79</v>
      </c>
      <c r="C8" s="37">
        <v>1.74</v>
      </c>
      <c r="D8" s="37">
        <v>-0.45</v>
      </c>
      <c r="E8" s="37">
        <v>-0.18</v>
      </c>
      <c r="F8" s="37">
        <v>-0.87</v>
      </c>
      <c r="G8" s="37">
        <v>-0.8</v>
      </c>
      <c r="H8" s="37">
        <v>1.33</v>
      </c>
      <c r="I8" s="37">
        <v>0.7</v>
      </c>
      <c r="J8" s="37">
        <v>-0.73</v>
      </c>
      <c r="K8" s="34"/>
      <c r="L8" s="35" t="s">
        <v>33</v>
      </c>
      <c r="M8" s="41">
        <v>0.930839</v>
      </c>
      <c r="N8" s="42">
        <v>0.653915</v>
      </c>
      <c r="O8" s="42">
        <v>1.185467</v>
      </c>
      <c r="P8" s="42">
        <v>1.348701</v>
      </c>
      <c r="Q8" s="42">
        <v>1.402458</v>
      </c>
      <c r="R8" s="42">
        <v>0.82489</v>
      </c>
      <c r="S8" s="42">
        <v>0.313066</v>
      </c>
      <c r="T8" s="42">
        <v>-0.17839</v>
      </c>
      <c r="U8" s="42">
        <v>-0.52354</v>
      </c>
      <c r="V8" s="43">
        <v>0.576138</v>
      </c>
      <c r="W8" s="34"/>
      <c r="X8" s="34"/>
    </row>
    <row r="9">
      <c r="A9" s="36">
        <v>1.89</v>
      </c>
      <c r="B9" s="37">
        <v>-0.93</v>
      </c>
      <c r="C9" s="37">
        <v>-0.81</v>
      </c>
      <c r="D9" s="37">
        <v>-0.66</v>
      </c>
      <c r="E9" s="37">
        <v>-0.41</v>
      </c>
      <c r="F9" s="37">
        <v>-0.39</v>
      </c>
      <c r="G9" s="37">
        <v>0.38</v>
      </c>
      <c r="H9" s="37">
        <v>-1.47</v>
      </c>
      <c r="I9" s="37">
        <v>-1.55</v>
      </c>
      <c r="J9" s="37">
        <v>1.78</v>
      </c>
      <c r="K9" s="34"/>
      <c r="L9" s="35" t="s">
        <v>34</v>
      </c>
      <c r="M9" s="44">
        <v>-0.20659</v>
      </c>
      <c r="N9" s="45">
        <v>-0.56606</v>
      </c>
      <c r="O9" s="45">
        <v>0.041913</v>
      </c>
      <c r="P9" s="45">
        <v>0.260839</v>
      </c>
      <c r="Q9" s="45">
        <v>0.337608</v>
      </c>
      <c r="R9" s="45">
        <v>-0.67213</v>
      </c>
      <c r="S9" s="45">
        <v>-0.84803</v>
      </c>
      <c r="T9" s="45">
        <v>-0.9881</v>
      </c>
      <c r="U9" s="45">
        <v>-0.91656</v>
      </c>
      <c r="V9" s="46">
        <v>-0.61989</v>
      </c>
      <c r="W9" s="34"/>
      <c r="X9" s="34"/>
    </row>
    <row r="10">
      <c r="A10" s="36">
        <v>-0.11</v>
      </c>
      <c r="B10" s="37">
        <v>0.26</v>
      </c>
      <c r="C10" s="37">
        <v>-0.27</v>
      </c>
      <c r="D10" s="37">
        <v>-0.5</v>
      </c>
      <c r="E10" s="37">
        <v>-0.4</v>
      </c>
      <c r="F10" s="37">
        <v>1.42</v>
      </c>
      <c r="G10" s="37">
        <v>1.42</v>
      </c>
      <c r="H10" s="37">
        <v>0.14</v>
      </c>
      <c r="I10" s="37">
        <v>0.32</v>
      </c>
      <c r="J10" s="37">
        <v>-0.51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>
      <c r="A11" s="36">
        <v>-0.6</v>
      </c>
      <c r="B11" s="37">
        <v>0.8</v>
      </c>
      <c r="C11" s="37">
        <v>-0.65</v>
      </c>
      <c r="D11" s="37">
        <v>-0.72</v>
      </c>
      <c r="E11" s="37">
        <v>-0.31</v>
      </c>
      <c r="F11" s="37">
        <v>1.84</v>
      </c>
      <c r="G11" s="37">
        <v>1.59</v>
      </c>
      <c r="H11" s="37">
        <v>0.56</v>
      </c>
      <c r="I11" s="37">
        <v>0.28</v>
      </c>
      <c r="J11" s="37">
        <v>-1.13</v>
      </c>
      <c r="K11" s="34"/>
      <c r="L11" s="35" t="s">
        <v>35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>
      <c r="A12" s="36">
        <v>-0.94</v>
      </c>
      <c r="B12" s="37">
        <v>0.94</v>
      </c>
      <c r="C12" s="37">
        <v>2.06</v>
      </c>
      <c r="D12" s="37">
        <v>-0.35</v>
      </c>
      <c r="E12" s="37">
        <v>-0.5</v>
      </c>
      <c r="F12" s="37">
        <v>-0.98</v>
      </c>
      <c r="G12" s="37">
        <v>-0.96</v>
      </c>
      <c r="H12" s="37">
        <v>0.67</v>
      </c>
      <c r="I12" s="37">
        <v>0.71</v>
      </c>
      <c r="J12" s="37">
        <v>-0.35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>
      <c r="A13" s="36">
        <v>1.59</v>
      </c>
      <c r="B13" s="37">
        <v>-1.16</v>
      </c>
      <c r="C13" s="37">
        <v>-0.86</v>
      </c>
      <c r="D13" s="37">
        <v>-0.64</v>
      </c>
      <c r="E13" s="37">
        <v>-0.82</v>
      </c>
      <c r="F13" s="37">
        <v>-0.7</v>
      </c>
      <c r="G13" s="37">
        <v>-0.37</v>
      </c>
      <c r="H13" s="37">
        <v>-1.47</v>
      </c>
      <c r="I13" s="37">
        <v>-1.4</v>
      </c>
      <c r="J13" s="37">
        <v>1.93</v>
      </c>
      <c r="K13" s="34"/>
      <c r="L13" s="34"/>
      <c r="M13" s="35" t="s">
        <v>19</v>
      </c>
      <c r="N13" s="35" t="s">
        <v>20</v>
      </c>
      <c r="O13" s="35" t="s">
        <v>21</v>
      </c>
      <c r="P13" s="35" t="s">
        <v>22</v>
      </c>
      <c r="Q13" s="35" t="s">
        <v>23</v>
      </c>
      <c r="R13" s="35" t="s">
        <v>24</v>
      </c>
      <c r="S13" s="35" t="s">
        <v>25</v>
      </c>
      <c r="T13" s="35" t="s">
        <v>26</v>
      </c>
      <c r="U13" s="35" t="s">
        <v>27</v>
      </c>
      <c r="V13" s="35" t="s">
        <v>28</v>
      </c>
      <c r="W13" s="34"/>
      <c r="X13" s="34"/>
    </row>
    <row r="14">
      <c r="A14" s="36">
        <v>1.95</v>
      </c>
      <c r="B14" s="37">
        <v>-1.09</v>
      </c>
      <c r="C14" s="37">
        <v>-0.81</v>
      </c>
      <c r="D14" s="37">
        <v>-0.87</v>
      </c>
      <c r="E14" s="37">
        <v>-0.6</v>
      </c>
      <c r="F14" s="37">
        <v>-0.27</v>
      </c>
      <c r="G14" s="37">
        <v>0.24</v>
      </c>
      <c r="H14" s="37">
        <v>-1.57</v>
      </c>
      <c r="I14" s="37">
        <v>-1.34</v>
      </c>
      <c r="J14" s="37">
        <v>1.96</v>
      </c>
      <c r="K14" s="34"/>
      <c r="L14" s="35" t="s">
        <v>19</v>
      </c>
      <c r="M14" s="38">
        <v>1.0</v>
      </c>
      <c r="N14" s="39">
        <v>-0.73184</v>
      </c>
      <c r="O14" s="39">
        <v>-0.6284</v>
      </c>
      <c r="P14" s="39">
        <v>-0.16703</v>
      </c>
      <c r="Q14" s="39">
        <v>-0.13707</v>
      </c>
      <c r="R14" s="39">
        <v>0.025178</v>
      </c>
      <c r="S14" s="39">
        <v>0.171359</v>
      </c>
      <c r="T14" s="39">
        <v>-0.81614</v>
      </c>
      <c r="U14" s="39">
        <v>-0.85472</v>
      </c>
      <c r="V14" s="40">
        <v>0.753412</v>
      </c>
      <c r="W14" s="34"/>
      <c r="X14" s="34"/>
    </row>
    <row r="15">
      <c r="A15" s="36">
        <v>-0.97</v>
      </c>
      <c r="B15" s="37">
        <v>1.54</v>
      </c>
      <c r="C15" s="37">
        <v>1.91</v>
      </c>
      <c r="D15" s="37">
        <v>-0.4</v>
      </c>
      <c r="E15" s="37">
        <v>-0.3</v>
      </c>
      <c r="F15" s="37">
        <v>-0.92</v>
      </c>
      <c r="G15" s="37">
        <v>-1.08</v>
      </c>
      <c r="H15" s="37">
        <v>0.56</v>
      </c>
      <c r="I15" s="37">
        <v>1.01</v>
      </c>
      <c r="J15" s="37">
        <v>-0.22</v>
      </c>
      <c r="K15" s="34"/>
      <c r="L15" s="35" t="s">
        <v>20</v>
      </c>
      <c r="M15" s="41">
        <v>-0.73184</v>
      </c>
      <c r="N15" s="42">
        <v>1.0</v>
      </c>
      <c r="O15" s="42">
        <v>0.834059</v>
      </c>
      <c r="P15" s="42">
        <v>-0.04358</v>
      </c>
      <c r="Q15" s="42">
        <v>-0.07766</v>
      </c>
      <c r="R15" s="42">
        <v>-0.28745</v>
      </c>
      <c r="S15" s="42">
        <v>-0.40757</v>
      </c>
      <c r="T15" s="42">
        <v>0.755527</v>
      </c>
      <c r="U15" s="42">
        <v>0.766964</v>
      </c>
      <c r="V15" s="43">
        <v>-0.51799</v>
      </c>
      <c r="W15" s="34"/>
      <c r="X15" s="34"/>
    </row>
    <row r="16">
      <c r="A16" s="36">
        <v>-0.74</v>
      </c>
      <c r="B16" s="37">
        <v>1.85</v>
      </c>
      <c r="C16" s="37">
        <v>2.68</v>
      </c>
      <c r="D16" s="37">
        <v>-0.46</v>
      </c>
      <c r="E16" s="37">
        <v>-0.18</v>
      </c>
      <c r="F16" s="37">
        <v>-0.89</v>
      </c>
      <c r="G16" s="37">
        <v>-0.26</v>
      </c>
      <c r="H16" s="37">
        <v>0.54</v>
      </c>
      <c r="I16" s="37">
        <v>0.7</v>
      </c>
      <c r="J16" s="37">
        <v>-0.75</v>
      </c>
      <c r="K16" s="34"/>
      <c r="L16" s="35" t="s">
        <v>21</v>
      </c>
      <c r="M16" s="41">
        <v>-0.6284</v>
      </c>
      <c r="N16" s="42">
        <v>0.834059</v>
      </c>
      <c r="O16" s="42">
        <v>1.0</v>
      </c>
      <c r="P16" s="42">
        <v>-0.08386</v>
      </c>
      <c r="Q16" s="42">
        <v>-0.10748</v>
      </c>
      <c r="R16" s="42">
        <v>-0.48242</v>
      </c>
      <c r="S16" s="42">
        <v>-0.58877</v>
      </c>
      <c r="T16" s="42">
        <v>0.671743</v>
      </c>
      <c r="U16" s="42">
        <v>0.68673</v>
      </c>
      <c r="V16" s="43">
        <v>-0.34213</v>
      </c>
      <c r="W16" s="34"/>
      <c r="X16" s="34"/>
    </row>
    <row r="17">
      <c r="A17" s="36">
        <v>-1.22</v>
      </c>
      <c r="B17" s="37">
        <v>1.02</v>
      </c>
      <c r="C17" s="37">
        <v>1.15</v>
      </c>
      <c r="D17" s="37">
        <v>-0.3</v>
      </c>
      <c r="E17" s="37">
        <v>-0.28</v>
      </c>
      <c r="F17" s="37">
        <v>-0.57</v>
      </c>
      <c r="G17" s="37">
        <v>-0.75</v>
      </c>
      <c r="H17" s="37">
        <v>0.66</v>
      </c>
      <c r="I17" s="37">
        <v>0.68</v>
      </c>
      <c r="J17" s="37">
        <v>-0.23</v>
      </c>
      <c r="K17" s="34"/>
      <c r="L17" s="35" t="s">
        <v>22</v>
      </c>
      <c r="M17" s="41">
        <v>-0.16703</v>
      </c>
      <c r="N17" s="42">
        <v>-0.04358</v>
      </c>
      <c r="O17" s="42">
        <v>-0.08386</v>
      </c>
      <c r="P17" s="42">
        <v>1.0</v>
      </c>
      <c r="Q17" s="42">
        <v>0.937893</v>
      </c>
      <c r="R17" s="42">
        <v>-0.27791</v>
      </c>
      <c r="S17" s="42">
        <v>-0.17654</v>
      </c>
      <c r="T17" s="42">
        <v>0.135918</v>
      </c>
      <c r="U17" s="42">
        <v>0.172308</v>
      </c>
      <c r="V17" s="43">
        <v>-0.19174</v>
      </c>
      <c r="W17" s="34"/>
      <c r="X17" s="34"/>
    </row>
    <row r="18">
      <c r="A18" s="36">
        <v>-0.65</v>
      </c>
      <c r="B18" s="37">
        <v>0.41</v>
      </c>
      <c r="C18" s="37">
        <v>-0.19</v>
      </c>
      <c r="D18" s="37">
        <v>1.68</v>
      </c>
      <c r="E18" s="37">
        <v>1.24</v>
      </c>
      <c r="F18" s="37">
        <v>-0.18</v>
      </c>
      <c r="G18" s="37">
        <v>-0.38</v>
      </c>
      <c r="H18" s="37">
        <v>0.43</v>
      </c>
      <c r="I18" s="37">
        <v>-0.57</v>
      </c>
      <c r="J18" s="37">
        <v>-0.52</v>
      </c>
      <c r="K18" s="34"/>
      <c r="L18" s="35" t="s">
        <v>23</v>
      </c>
      <c r="M18" s="41">
        <v>-0.13707</v>
      </c>
      <c r="N18" s="42">
        <v>-0.07766</v>
      </c>
      <c r="O18" s="42">
        <v>-0.10748</v>
      </c>
      <c r="P18" s="42">
        <v>0.937893</v>
      </c>
      <c r="Q18" s="42">
        <v>1.0</v>
      </c>
      <c r="R18" s="42">
        <v>-0.30277</v>
      </c>
      <c r="S18" s="42">
        <v>-0.18879</v>
      </c>
      <c r="T18" s="42">
        <v>0.07745</v>
      </c>
      <c r="U18" s="42">
        <v>0.133319</v>
      </c>
      <c r="V18" s="43">
        <v>-0.14299</v>
      </c>
      <c r="W18" s="34"/>
      <c r="X18" s="34"/>
    </row>
    <row r="19">
      <c r="A19" s="36">
        <v>-0.35</v>
      </c>
      <c r="B19" s="37">
        <v>-0.06</v>
      </c>
      <c r="C19" s="37">
        <v>-0.56</v>
      </c>
      <c r="D19" s="37">
        <v>-0.39</v>
      </c>
      <c r="E19" s="37">
        <v>-0.73</v>
      </c>
      <c r="F19" s="37">
        <v>1.49</v>
      </c>
      <c r="G19" s="37">
        <v>1.3</v>
      </c>
      <c r="H19" s="37">
        <v>0.49</v>
      </c>
      <c r="I19" s="37">
        <v>0.54</v>
      </c>
      <c r="J19" s="37">
        <v>-1.23</v>
      </c>
      <c r="K19" s="34"/>
      <c r="L19" s="35" t="s">
        <v>24</v>
      </c>
      <c r="M19" s="41">
        <v>0.025178</v>
      </c>
      <c r="N19" s="42">
        <v>-0.28745</v>
      </c>
      <c r="O19" s="42">
        <v>-0.48242</v>
      </c>
      <c r="P19" s="42">
        <v>-0.27791</v>
      </c>
      <c r="Q19" s="42">
        <v>-0.30277</v>
      </c>
      <c r="R19" s="42">
        <v>1.0</v>
      </c>
      <c r="S19" s="42">
        <v>0.814048</v>
      </c>
      <c r="T19" s="42">
        <v>-0.05219</v>
      </c>
      <c r="U19" s="42">
        <v>-0.04861</v>
      </c>
      <c r="V19" s="43">
        <v>-0.25945</v>
      </c>
      <c r="W19" s="34"/>
      <c r="X19" s="34"/>
    </row>
    <row r="20">
      <c r="A20" s="36">
        <v>-0.74</v>
      </c>
      <c r="B20" s="37">
        <v>0.18</v>
      </c>
      <c r="C20" s="37">
        <v>-0.35</v>
      </c>
      <c r="D20" s="37">
        <v>1.58</v>
      </c>
      <c r="E20" s="37">
        <v>2.45</v>
      </c>
      <c r="F20" s="37">
        <v>-0.51</v>
      </c>
      <c r="G20" s="37">
        <v>0.12</v>
      </c>
      <c r="H20" s="37">
        <v>-0.09</v>
      </c>
      <c r="I20" s="37">
        <v>0.99</v>
      </c>
      <c r="J20" s="37">
        <v>0.88</v>
      </c>
      <c r="K20" s="34"/>
      <c r="L20" s="35" t="s">
        <v>25</v>
      </c>
      <c r="M20" s="41">
        <v>0.171359</v>
      </c>
      <c r="N20" s="42">
        <v>-0.40757</v>
      </c>
      <c r="O20" s="42">
        <v>-0.58877</v>
      </c>
      <c r="P20" s="42">
        <v>-0.17654</v>
      </c>
      <c r="Q20" s="42">
        <v>-0.18879</v>
      </c>
      <c r="R20" s="42">
        <v>0.814048</v>
      </c>
      <c r="S20" s="42">
        <v>1.0</v>
      </c>
      <c r="T20" s="42">
        <v>-0.19193</v>
      </c>
      <c r="U20" s="42">
        <v>-0.22221</v>
      </c>
      <c r="V20" s="43">
        <v>-0.09405</v>
      </c>
      <c r="W20" s="34"/>
      <c r="X20" s="34"/>
    </row>
    <row r="21">
      <c r="A21" s="36">
        <v>-0.17</v>
      </c>
      <c r="B21" s="37">
        <v>0.05</v>
      </c>
      <c r="C21" s="37">
        <v>-0.29</v>
      </c>
      <c r="D21" s="37">
        <v>2.34</v>
      </c>
      <c r="E21" s="37">
        <v>1.52</v>
      </c>
      <c r="F21" s="37">
        <v>-0.36</v>
      </c>
      <c r="G21" s="37">
        <v>0.08</v>
      </c>
      <c r="H21" s="37">
        <v>-0.89</v>
      </c>
      <c r="I21" s="37">
        <v>-0.39</v>
      </c>
      <c r="J21" s="37">
        <v>-1.37</v>
      </c>
      <c r="K21" s="34"/>
      <c r="L21" s="35" t="s">
        <v>26</v>
      </c>
      <c r="M21" s="41">
        <v>-0.81614</v>
      </c>
      <c r="N21" s="42">
        <v>0.755527</v>
      </c>
      <c r="O21" s="42">
        <v>0.671743</v>
      </c>
      <c r="P21" s="42">
        <v>0.135918</v>
      </c>
      <c r="Q21" s="42">
        <v>0.07745</v>
      </c>
      <c r="R21" s="42">
        <v>-0.05219</v>
      </c>
      <c r="S21" s="42">
        <v>-0.19193</v>
      </c>
      <c r="T21" s="42">
        <v>1.0</v>
      </c>
      <c r="U21" s="42">
        <v>0.842323</v>
      </c>
      <c r="V21" s="43">
        <v>-0.68481</v>
      </c>
      <c r="W21" s="34"/>
      <c r="X21" s="34"/>
    </row>
    <row r="22">
      <c r="A22" s="36">
        <v>-0.44</v>
      </c>
      <c r="B22" s="37">
        <v>0.22</v>
      </c>
      <c r="C22" s="37">
        <v>-0.24</v>
      </c>
      <c r="D22" s="37">
        <v>-0.49</v>
      </c>
      <c r="E22" s="37">
        <v>-0.23</v>
      </c>
      <c r="F22" s="37">
        <v>1.02</v>
      </c>
      <c r="G22" s="37">
        <v>0.23</v>
      </c>
      <c r="H22" s="37">
        <v>0.18</v>
      </c>
      <c r="I22" s="37">
        <v>0.42</v>
      </c>
      <c r="J22" s="37">
        <v>-0.77</v>
      </c>
      <c r="K22" s="34"/>
      <c r="L22" s="35" t="s">
        <v>27</v>
      </c>
      <c r="M22" s="41">
        <v>-0.85472</v>
      </c>
      <c r="N22" s="42">
        <v>0.766964</v>
      </c>
      <c r="O22" s="42">
        <v>0.68673</v>
      </c>
      <c r="P22" s="42">
        <v>0.172308</v>
      </c>
      <c r="Q22" s="42">
        <v>0.133319</v>
      </c>
      <c r="R22" s="42">
        <v>-0.04861</v>
      </c>
      <c r="S22" s="42">
        <v>-0.22221</v>
      </c>
      <c r="T22" s="42">
        <v>0.842323</v>
      </c>
      <c r="U22" s="42">
        <v>1.0</v>
      </c>
      <c r="V22" s="43">
        <v>-0.70436</v>
      </c>
      <c r="W22" s="34"/>
      <c r="X22" s="34"/>
    </row>
    <row r="23">
      <c r="A23" s="36">
        <v>-1.22</v>
      </c>
      <c r="B23" s="37">
        <v>1.27</v>
      </c>
      <c r="C23" s="37">
        <v>0.87</v>
      </c>
      <c r="D23" s="37">
        <v>-0.2</v>
      </c>
      <c r="E23" s="37">
        <v>-0.27</v>
      </c>
      <c r="F23" s="37">
        <v>-1.1</v>
      </c>
      <c r="G23" s="37">
        <v>-1.32</v>
      </c>
      <c r="H23" s="37">
        <v>0.4</v>
      </c>
      <c r="I23" s="37">
        <v>0.98</v>
      </c>
      <c r="J23" s="37">
        <v>-0.01</v>
      </c>
      <c r="K23" s="34"/>
      <c r="L23" s="35" t="s">
        <v>28</v>
      </c>
      <c r="M23" s="44">
        <v>0.753412</v>
      </c>
      <c r="N23" s="45">
        <v>-0.51799</v>
      </c>
      <c r="O23" s="45">
        <v>-0.34213</v>
      </c>
      <c r="P23" s="45">
        <v>-0.19174</v>
      </c>
      <c r="Q23" s="45">
        <v>-0.14299</v>
      </c>
      <c r="R23" s="45">
        <v>-0.25945</v>
      </c>
      <c r="S23" s="45">
        <v>-0.09405</v>
      </c>
      <c r="T23" s="45">
        <v>-0.68481</v>
      </c>
      <c r="U23" s="45">
        <v>-0.70436</v>
      </c>
      <c r="V23" s="46">
        <v>1.0</v>
      </c>
      <c r="W23" s="34"/>
      <c r="X23" s="34"/>
    </row>
    <row r="24">
      <c r="A24" s="36">
        <v>-0.5</v>
      </c>
      <c r="B24" s="37">
        <v>-0.15</v>
      </c>
      <c r="C24" s="37">
        <v>-0.52</v>
      </c>
      <c r="D24" s="37">
        <v>1.56</v>
      </c>
      <c r="E24" s="37">
        <v>1.84</v>
      </c>
      <c r="F24" s="37">
        <v>-0.82</v>
      </c>
      <c r="G24" s="37">
        <v>-0.55</v>
      </c>
      <c r="H24" s="37">
        <v>-0.64</v>
      </c>
      <c r="I24" s="37">
        <v>0.95</v>
      </c>
      <c r="J24" s="37">
        <v>-0.14</v>
      </c>
      <c r="K24" s="34"/>
      <c r="L24" s="34"/>
      <c r="M24" s="42">
        <v>2.971429</v>
      </c>
      <c r="N24" s="42">
        <v>2.915283</v>
      </c>
      <c r="O24" s="42">
        <v>2.728399</v>
      </c>
      <c r="P24" s="42">
        <v>1.109807</v>
      </c>
      <c r="Q24" s="42">
        <v>1.087542</v>
      </c>
      <c r="R24" s="42">
        <v>1.219977</v>
      </c>
      <c r="S24" s="42">
        <v>1.366672</v>
      </c>
      <c r="T24" s="42">
        <v>2.930653</v>
      </c>
      <c r="U24" s="42">
        <v>3.09522</v>
      </c>
      <c r="V24" s="42">
        <v>2.051455</v>
      </c>
      <c r="W24" s="42">
        <v>21.47644</v>
      </c>
      <c r="X24" s="34"/>
    </row>
    <row r="25">
      <c r="A25" s="36">
        <v>-0.37</v>
      </c>
      <c r="B25" s="37">
        <v>-0.27</v>
      </c>
      <c r="C25" s="37">
        <v>-0.44</v>
      </c>
      <c r="D25" s="37">
        <v>1.77</v>
      </c>
      <c r="E25" s="37">
        <v>2.11</v>
      </c>
      <c r="F25" s="37">
        <v>-0.34</v>
      </c>
      <c r="G25" s="37">
        <v>-0.54</v>
      </c>
      <c r="H25" s="37">
        <v>-0.37</v>
      </c>
      <c r="I25" s="37">
        <v>-0.01</v>
      </c>
      <c r="J25" s="37">
        <v>-1.47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>
      <c r="A26" s="36">
        <v>-0.74</v>
      </c>
      <c r="B26" s="37">
        <v>0.22</v>
      </c>
      <c r="C26" s="37">
        <v>-0.09</v>
      </c>
      <c r="D26" s="37">
        <v>1.76</v>
      </c>
      <c r="E26" s="37">
        <v>2.09</v>
      </c>
      <c r="F26" s="37">
        <v>-0.46</v>
      </c>
      <c r="G26" s="37">
        <v>0.87</v>
      </c>
      <c r="H26" s="37">
        <v>0.37</v>
      </c>
      <c r="I26" s="37">
        <v>0.06</v>
      </c>
      <c r="J26" s="37">
        <v>-0.73</v>
      </c>
      <c r="K26" s="34"/>
      <c r="L26" s="35" t="s">
        <v>36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>
      <c r="A27" s="36">
        <v>0.48</v>
      </c>
      <c r="B27" s="37">
        <v>-1.01</v>
      </c>
      <c r="C27" s="37">
        <v>-0.89</v>
      </c>
      <c r="D27" s="37">
        <v>-0.94</v>
      </c>
      <c r="E27" s="37">
        <v>-0.7</v>
      </c>
      <c r="F27" s="37">
        <v>-0.58</v>
      </c>
      <c r="G27" s="37">
        <v>1.04</v>
      </c>
      <c r="H27" s="37">
        <v>-1.29</v>
      </c>
      <c r="I27" s="37">
        <v>-1.49</v>
      </c>
      <c r="J27" s="37">
        <v>1.94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>
      <c r="A28" s="36">
        <v>-0.94</v>
      </c>
      <c r="B28" s="37">
        <v>0.84</v>
      </c>
      <c r="C28" s="37">
        <v>2.35</v>
      </c>
      <c r="D28" s="37">
        <v>-0.23</v>
      </c>
      <c r="E28" s="37">
        <v>-0.53</v>
      </c>
      <c r="F28" s="37">
        <v>-0.96</v>
      </c>
      <c r="G28" s="37">
        <v>-1.46</v>
      </c>
      <c r="H28" s="37">
        <v>0.22</v>
      </c>
      <c r="I28" s="37">
        <v>1.33</v>
      </c>
      <c r="J28" s="37">
        <v>0.45</v>
      </c>
      <c r="K28" s="34"/>
      <c r="L28" s="34"/>
      <c r="M28" s="35" t="s">
        <v>19</v>
      </c>
      <c r="N28" s="35" t="s">
        <v>20</v>
      </c>
      <c r="O28" s="35" t="s">
        <v>21</v>
      </c>
      <c r="P28" s="35" t="s">
        <v>22</v>
      </c>
      <c r="Q28" s="35" t="s">
        <v>23</v>
      </c>
      <c r="R28" s="35" t="s">
        <v>24</v>
      </c>
      <c r="S28" s="35" t="s">
        <v>25</v>
      </c>
      <c r="T28" s="35" t="s">
        <v>26</v>
      </c>
      <c r="U28" s="35" t="s">
        <v>27</v>
      </c>
      <c r="V28" s="35" t="s">
        <v>28</v>
      </c>
      <c r="W28" s="34"/>
      <c r="X28" s="35" t="s">
        <v>37</v>
      </c>
    </row>
    <row r="29">
      <c r="A29" s="36">
        <v>-0.77</v>
      </c>
      <c r="B29" s="37">
        <v>0.16</v>
      </c>
      <c r="C29" s="37">
        <v>-0.59</v>
      </c>
      <c r="D29" s="37">
        <v>-0.59</v>
      </c>
      <c r="E29" s="37">
        <v>-0.64</v>
      </c>
      <c r="F29" s="37">
        <v>1.21</v>
      </c>
      <c r="G29" s="37">
        <v>1.26</v>
      </c>
      <c r="H29" s="37">
        <v>-0.24</v>
      </c>
      <c r="I29" s="37">
        <v>0.38</v>
      </c>
      <c r="J29" s="37">
        <v>-0.78</v>
      </c>
      <c r="K29" s="34"/>
      <c r="L29" s="35" t="s">
        <v>19</v>
      </c>
      <c r="M29" s="38">
        <v>5.167917</v>
      </c>
      <c r="N29" s="39">
        <v>0.65898</v>
      </c>
      <c r="O29" s="39">
        <v>0.557297</v>
      </c>
      <c r="P29" s="39">
        <v>-0.45017</v>
      </c>
      <c r="Q29" s="39">
        <v>0.784065</v>
      </c>
      <c r="R29" s="39">
        <v>0.08774</v>
      </c>
      <c r="S29" s="39">
        <v>0.138122</v>
      </c>
      <c r="T29" s="39">
        <v>0.916006</v>
      </c>
      <c r="U29" s="39">
        <v>1.752174</v>
      </c>
      <c r="V29" s="40">
        <v>-1.43856</v>
      </c>
      <c r="W29" s="34"/>
      <c r="X29" s="47">
        <v>2.273305</v>
      </c>
    </row>
    <row r="30">
      <c r="A30" s="36">
        <v>-0.43</v>
      </c>
      <c r="B30" s="37">
        <v>-0.46</v>
      </c>
      <c r="C30" s="37">
        <v>-0.58</v>
      </c>
      <c r="D30" s="37">
        <v>-0.37</v>
      </c>
      <c r="E30" s="37">
        <v>-0.43</v>
      </c>
      <c r="F30" s="37">
        <v>1.17</v>
      </c>
      <c r="G30" s="37">
        <v>1.29</v>
      </c>
      <c r="H30" s="37">
        <v>0.62</v>
      </c>
      <c r="I30" s="37">
        <v>-0.3</v>
      </c>
      <c r="J30" s="37">
        <v>-0.53</v>
      </c>
      <c r="K30" s="34"/>
      <c r="L30" s="35" t="s">
        <v>20</v>
      </c>
      <c r="M30" s="41">
        <v>0.65898</v>
      </c>
      <c r="N30" s="42">
        <v>4.935466</v>
      </c>
      <c r="O30" s="42">
        <v>-1.84695</v>
      </c>
      <c r="P30" s="42">
        <v>0.287597</v>
      </c>
      <c r="Q30" s="42">
        <v>0.516007</v>
      </c>
      <c r="R30" s="42">
        <v>0.818639</v>
      </c>
      <c r="S30" s="42">
        <v>-0.0364</v>
      </c>
      <c r="T30" s="42">
        <v>-0.7862</v>
      </c>
      <c r="U30" s="42">
        <v>-1.01898</v>
      </c>
      <c r="V30" s="43">
        <v>0.509907</v>
      </c>
      <c r="W30" s="34"/>
      <c r="X30" s="48">
        <v>2.221591</v>
      </c>
    </row>
    <row r="31">
      <c r="A31" s="36">
        <v>-1.05</v>
      </c>
      <c r="B31" s="37">
        <v>1.64</v>
      </c>
      <c r="C31" s="37">
        <v>1.15</v>
      </c>
      <c r="D31" s="37">
        <v>-0.65</v>
      </c>
      <c r="E31" s="37">
        <v>-0.64</v>
      </c>
      <c r="F31" s="37">
        <v>-0.91</v>
      </c>
      <c r="G31" s="37">
        <v>-1.02</v>
      </c>
      <c r="H31" s="37">
        <v>0.48</v>
      </c>
      <c r="I31" s="37">
        <v>1.22</v>
      </c>
      <c r="J31" s="37">
        <v>-1.25</v>
      </c>
      <c r="K31" s="34"/>
      <c r="L31" s="35" t="s">
        <v>21</v>
      </c>
      <c r="M31" s="41">
        <v>0.557297</v>
      </c>
      <c r="N31" s="42">
        <v>-1.84695</v>
      </c>
      <c r="O31" s="42">
        <v>6.617387</v>
      </c>
      <c r="P31" s="42">
        <v>0.776706</v>
      </c>
      <c r="Q31" s="42">
        <v>1.077001</v>
      </c>
      <c r="R31" s="42">
        <v>2.240561</v>
      </c>
      <c r="S31" s="42">
        <v>0.943154</v>
      </c>
      <c r="T31" s="42">
        <v>-1.03411</v>
      </c>
      <c r="U31" s="42">
        <v>-1.84134</v>
      </c>
      <c r="V31" s="43">
        <v>-0.14478</v>
      </c>
      <c r="W31" s="34"/>
      <c r="X31" s="48">
        <v>2.572428</v>
      </c>
    </row>
    <row r="32">
      <c r="A32" s="36">
        <v>-0.37</v>
      </c>
      <c r="B32" s="37">
        <v>-0.58</v>
      </c>
      <c r="C32" s="37">
        <v>-0.59</v>
      </c>
      <c r="D32" s="37">
        <v>-0.49</v>
      </c>
      <c r="E32" s="37">
        <v>-0.69</v>
      </c>
      <c r="F32" s="37">
        <v>1.4</v>
      </c>
      <c r="G32" s="37">
        <v>1.82</v>
      </c>
      <c r="H32" s="37">
        <v>-0.1</v>
      </c>
      <c r="I32" s="37">
        <v>0.59</v>
      </c>
      <c r="J32" s="37">
        <v>-1.23</v>
      </c>
      <c r="K32" s="34"/>
      <c r="L32" s="35" t="s">
        <v>22</v>
      </c>
      <c r="M32" s="41">
        <v>-0.45017</v>
      </c>
      <c r="N32" s="42">
        <v>0.287597</v>
      </c>
      <c r="O32" s="42">
        <v>0.776706</v>
      </c>
      <c r="P32" s="42">
        <v>8.879846</v>
      </c>
      <c r="Q32" s="42">
        <v>-7.89081</v>
      </c>
      <c r="R32" s="42">
        <v>0.612105</v>
      </c>
      <c r="S32" s="42">
        <v>0.016347</v>
      </c>
      <c r="T32" s="42">
        <v>-0.96977</v>
      </c>
      <c r="U32" s="42">
        <v>-0.36886</v>
      </c>
      <c r="V32" s="43">
        <v>0.564631</v>
      </c>
      <c r="W32" s="34"/>
      <c r="X32" s="48">
        <v>2.979907</v>
      </c>
    </row>
    <row r="33">
      <c r="A33" s="36">
        <v>-0.87</v>
      </c>
      <c r="B33" s="37">
        <v>2.12</v>
      </c>
      <c r="C33" s="37">
        <v>0.25</v>
      </c>
      <c r="D33" s="37">
        <v>-0.47</v>
      </c>
      <c r="E33" s="37">
        <v>-0.24</v>
      </c>
      <c r="F33" s="37">
        <v>-0.96</v>
      </c>
      <c r="G33" s="37">
        <v>-0.97</v>
      </c>
      <c r="H33" s="37">
        <v>0.65</v>
      </c>
      <c r="I33" s="37">
        <v>1.03</v>
      </c>
      <c r="J33" s="37">
        <v>-0.53</v>
      </c>
      <c r="K33" s="34"/>
      <c r="L33" s="35" t="s">
        <v>23</v>
      </c>
      <c r="M33" s="41">
        <v>0.784065</v>
      </c>
      <c r="N33" s="42">
        <v>0.516007</v>
      </c>
      <c r="O33" s="42">
        <v>1.077001</v>
      </c>
      <c r="P33" s="42">
        <v>-7.89081</v>
      </c>
      <c r="Q33" s="42">
        <v>9.089546</v>
      </c>
      <c r="R33" s="42">
        <v>1.211834</v>
      </c>
      <c r="S33" s="42">
        <v>0.002886</v>
      </c>
      <c r="T33" s="42">
        <v>0.619547</v>
      </c>
      <c r="U33" s="42">
        <v>-0.74961</v>
      </c>
      <c r="V33" s="43">
        <v>0.042703</v>
      </c>
      <c r="W33" s="34"/>
      <c r="X33" s="48">
        <v>3.014887</v>
      </c>
    </row>
    <row r="34">
      <c r="A34" s="36">
        <v>-0.78</v>
      </c>
      <c r="B34" s="37">
        <v>1.46</v>
      </c>
      <c r="C34" s="37">
        <v>1.73</v>
      </c>
      <c r="D34" s="37">
        <v>-0.4</v>
      </c>
      <c r="E34" s="37">
        <v>-0.43</v>
      </c>
      <c r="F34" s="37">
        <v>-1.01</v>
      </c>
      <c r="G34" s="37">
        <v>-0.97</v>
      </c>
      <c r="H34" s="37">
        <v>0.75</v>
      </c>
      <c r="I34" s="37">
        <v>1.1</v>
      </c>
      <c r="J34" s="37">
        <v>0.52</v>
      </c>
      <c r="K34" s="34"/>
      <c r="L34" s="35" t="s">
        <v>24</v>
      </c>
      <c r="M34" s="41">
        <v>0.08774</v>
      </c>
      <c r="N34" s="42">
        <v>0.818639</v>
      </c>
      <c r="O34" s="42">
        <v>2.240561</v>
      </c>
      <c r="P34" s="42">
        <v>0.612105</v>
      </c>
      <c r="Q34" s="42">
        <v>1.211834</v>
      </c>
      <c r="R34" s="42">
        <v>5.035805</v>
      </c>
      <c r="S34" s="42">
        <v>-2.41722</v>
      </c>
      <c r="T34" s="42">
        <v>-0.30419</v>
      </c>
      <c r="U34" s="42">
        <v>-1.5569</v>
      </c>
      <c r="V34" s="43">
        <v>1.189429</v>
      </c>
      <c r="W34" s="34"/>
      <c r="X34" s="48">
        <v>2.24406</v>
      </c>
    </row>
    <row r="35">
      <c r="A35" s="36">
        <v>1.96</v>
      </c>
      <c r="B35" s="37">
        <v>-1.12</v>
      </c>
      <c r="C35" s="37">
        <v>-0.69</v>
      </c>
      <c r="D35" s="37">
        <v>-0.76</v>
      </c>
      <c r="E35" s="37">
        <v>-0.9</v>
      </c>
      <c r="F35" s="37">
        <v>-0.55</v>
      </c>
      <c r="G35" s="37">
        <v>-1.04</v>
      </c>
      <c r="H35" s="37">
        <v>-1.49</v>
      </c>
      <c r="I35" s="37">
        <v>-1.48</v>
      </c>
      <c r="J35" s="37">
        <v>2.02</v>
      </c>
      <c r="K35" s="34"/>
      <c r="L35" s="35" t="s">
        <v>25</v>
      </c>
      <c r="M35" s="41">
        <v>0.138122</v>
      </c>
      <c r="N35" s="42">
        <v>-0.0364</v>
      </c>
      <c r="O35" s="42">
        <v>0.943154</v>
      </c>
      <c r="P35" s="42">
        <v>0.016347</v>
      </c>
      <c r="Q35" s="42">
        <v>0.002886</v>
      </c>
      <c r="R35" s="42">
        <v>-2.41722</v>
      </c>
      <c r="S35" s="42">
        <v>3.51887</v>
      </c>
      <c r="T35" s="42">
        <v>-0.28256</v>
      </c>
      <c r="U35" s="42">
        <v>0.388541</v>
      </c>
      <c r="V35" s="43">
        <v>-0.01273</v>
      </c>
      <c r="W35" s="34"/>
      <c r="X35" s="48">
        <v>1.875865</v>
      </c>
    </row>
    <row r="36">
      <c r="A36" s="36">
        <v>1.64</v>
      </c>
      <c r="B36" s="37">
        <v>-1.1</v>
      </c>
      <c r="C36" s="37">
        <v>-0.73</v>
      </c>
      <c r="D36" s="37">
        <v>-1.05</v>
      </c>
      <c r="E36" s="37">
        <v>-0.57</v>
      </c>
      <c r="F36" s="37">
        <v>0.13</v>
      </c>
      <c r="G36" s="37">
        <v>-0.81</v>
      </c>
      <c r="H36" s="37">
        <v>-1.25</v>
      </c>
      <c r="I36" s="37">
        <v>-1.39</v>
      </c>
      <c r="J36" s="37">
        <v>1.15</v>
      </c>
      <c r="K36" s="34"/>
      <c r="L36" s="35" t="s">
        <v>26</v>
      </c>
      <c r="M36" s="41">
        <v>0.916006</v>
      </c>
      <c r="N36" s="42">
        <v>-0.7862</v>
      </c>
      <c r="O36" s="42">
        <v>-1.03411</v>
      </c>
      <c r="P36" s="42">
        <v>-0.96977</v>
      </c>
      <c r="Q36" s="42">
        <v>0.619547</v>
      </c>
      <c r="R36" s="42">
        <v>-0.30419</v>
      </c>
      <c r="S36" s="42">
        <v>-0.28256</v>
      </c>
      <c r="T36" s="42">
        <v>4.55387</v>
      </c>
      <c r="U36" s="42">
        <v>-1.39174</v>
      </c>
      <c r="V36" s="43">
        <v>0.484246</v>
      </c>
      <c r="W36" s="34"/>
      <c r="X36" s="48">
        <v>2.13398</v>
      </c>
    </row>
    <row r="37">
      <c r="A37" s="36">
        <v>1.82</v>
      </c>
      <c r="B37" s="37">
        <v>-0.58</v>
      </c>
      <c r="C37" s="37">
        <v>-0.79</v>
      </c>
      <c r="D37" s="37">
        <v>-0.64</v>
      </c>
      <c r="E37" s="37">
        <v>-0.67</v>
      </c>
      <c r="F37" s="37">
        <v>-0.49</v>
      </c>
      <c r="G37" s="37">
        <v>0.54</v>
      </c>
      <c r="H37" s="37">
        <v>-1.58</v>
      </c>
      <c r="I37" s="37">
        <v>-1.47</v>
      </c>
      <c r="J37" s="37">
        <v>1.12</v>
      </c>
      <c r="K37" s="34"/>
      <c r="L37" s="35" t="s">
        <v>27</v>
      </c>
      <c r="M37" s="41">
        <v>1.752174</v>
      </c>
      <c r="N37" s="42">
        <v>-1.01898</v>
      </c>
      <c r="O37" s="42">
        <v>-1.84134</v>
      </c>
      <c r="P37" s="42">
        <v>-0.36886</v>
      </c>
      <c r="Q37" s="42">
        <v>-0.74961</v>
      </c>
      <c r="R37" s="42">
        <v>-1.5569</v>
      </c>
      <c r="S37" s="42">
        <v>0.388541</v>
      </c>
      <c r="T37" s="42">
        <v>-1.39174</v>
      </c>
      <c r="U37" s="42">
        <v>6.131176</v>
      </c>
      <c r="V37" s="43">
        <v>0.342267</v>
      </c>
      <c r="W37" s="34"/>
      <c r="X37" s="48">
        <v>2.476121</v>
      </c>
    </row>
    <row r="38">
      <c r="A38" s="36">
        <v>0.16</v>
      </c>
      <c r="B38" s="37">
        <v>-0.22</v>
      </c>
      <c r="C38" s="37">
        <v>-0.21</v>
      </c>
      <c r="D38" s="37">
        <v>1.66</v>
      </c>
      <c r="E38" s="37">
        <v>1.78</v>
      </c>
      <c r="F38" s="37">
        <v>-0.8</v>
      </c>
      <c r="G38" s="37">
        <v>-0.51</v>
      </c>
      <c r="H38" s="37">
        <v>0.05</v>
      </c>
      <c r="I38" s="37">
        <v>0.43</v>
      </c>
      <c r="J38" s="37">
        <v>-0.71</v>
      </c>
      <c r="K38" s="34"/>
      <c r="L38" s="35" t="s">
        <v>28</v>
      </c>
      <c r="M38" s="44">
        <v>-1.43856</v>
      </c>
      <c r="N38" s="45">
        <v>0.509907</v>
      </c>
      <c r="O38" s="45">
        <v>-0.14478</v>
      </c>
      <c r="P38" s="45">
        <v>0.564631</v>
      </c>
      <c r="Q38" s="45">
        <v>0.042703</v>
      </c>
      <c r="R38" s="45">
        <v>1.189429</v>
      </c>
      <c r="S38" s="45">
        <v>-0.01273</v>
      </c>
      <c r="T38" s="45">
        <v>0.484246</v>
      </c>
      <c r="U38" s="45">
        <v>0.342267</v>
      </c>
      <c r="V38" s="46">
        <v>3.29289</v>
      </c>
      <c r="W38" s="34"/>
      <c r="X38" s="49">
        <v>1.814632</v>
      </c>
    </row>
    <row r="39">
      <c r="A39" s="36">
        <v>-0.82</v>
      </c>
      <c r="B39" s="37">
        <v>2.07</v>
      </c>
      <c r="C39" s="37">
        <v>1.77</v>
      </c>
      <c r="D39" s="37">
        <v>0.02</v>
      </c>
      <c r="E39" s="37">
        <v>-0.49</v>
      </c>
      <c r="F39" s="37">
        <v>-1.16</v>
      </c>
      <c r="G39" s="37">
        <v>-1.82</v>
      </c>
      <c r="H39" s="37">
        <v>1.8</v>
      </c>
      <c r="I39" s="37">
        <v>1.23</v>
      </c>
      <c r="J39" s="37">
        <v>-0.49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>
      <c r="A40" s="36">
        <v>-0.27</v>
      </c>
      <c r="B40" s="37">
        <v>-0.55</v>
      </c>
      <c r="C40" s="37">
        <v>-0.08</v>
      </c>
      <c r="D40" s="37">
        <v>-0.48</v>
      </c>
      <c r="E40" s="37">
        <v>-0.51</v>
      </c>
      <c r="F40" s="37">
        <v>1.82</v>
      </c>
      <c r="G40" s="37">
        <v>1.51</v>
      </c>
      <c r="H40" s="37">
        <v>0.33</v>
      </c>
      <c r="I40" s="37">
        <v>0.01</v>
      </c>
      <c r="J40" s="37">
        <v>-0.56</v>
      </c>
      <c r="K40" s="34"/>
      <c r="L40" s="35" t="s">
        <v>38</v>
      </c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>
      <c r="A41" s="36">
        <v>0.79</v>
      </c>
      <c r="B41" s="37">
        <v>0.21</v>
      </c>
      <c r="C41" s="37">
        <v>-0.1</v>
      </c>
      <c r="D41" s="37">
        <v>1.66</v>
      </c>
      <c r="E41" s="37">
        <v>1.51</v>
      </c>
      <c r="F41" s="37">
        <v>-0.58</v>
      </c>
      <c r="G41" s="37">
        <v>-0.32</v>
      </c>
      <c r="H41" s="37">
        <v>0.36</v>
      </c>
      <c r="I41" s="37">
        <v>-0.61</v>
      </c>
      <c r="J41" s="37">
        <v>0.74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>
      <c r="A42" s="36">
        <v>-0.98</v>
      </c>
      <c r="B42" s="37">
        <v>1.08</v>
      </c>
      <c r="C42" s="37">
        <v>1.02</v>
      </c>
      <c r="D42" s="37">
        <v>-0.62</v>
      </c>
      <c r="E42" s="37">
        <v>-0.19</v>
      </c>
      <c r="F42" s="37">
        <v>-0.91</v>
      </c>
      <c r="G42" s="37">
        <v>-1.62</v>
      </c>
      <c r="H42" s="37">
        <v>0.27</v>
      </c>
      <c r="I42" s="37">
        <v>0.88</v>
      </c>
      <c r="J42" s="37">
        <v>0.33</v>
      </c>
      <c r="K42" s="34"/>
      <c r="L42" s="34"/>
      <c r="M42" s="35" t="s">
        <v>19</v>
      </c>
      <c r="N42" s="35" t="s">
        <v>20</v>
      </c>
      <c r="O42" s="35" t="s">
        <v>21</v>
      </c>
      <c r="P42" s="35" t="s">
        <v>22</v>
      </c>
      <c r="Q42" s="35" t="s">
        <v>23</v>
      </c>
      <c r="R42" s="35" t="s">
        <v>24</v>
      </c>
      <c r="S42" s="35" t="s">
        <v>25</v>
      </c>
      <c r="T42" s="35" t="s">
        <v>26</v>
      </c>
      <c r="U42" s="35" t="s">
        <v>27</v>
      </c>
      <c r="V42" s="35" t="s">
        <v>28</v>
      </c>
      <c r="W42" s="34"/>
      <c r="X42" s="34"/>
    </row>
    <row r="43">
      <c r="A43" s="36">
        <v>-0.17</v>
      </c>
      <c r="B43" s="37">
        <v>-0.99</v>
      </c>
      <c r="C43" s="37">
        <v>-0.47</v>
      </c>
      <c r="D43" s="37">
        <v>1.75</v>
      </c>
      <c r="E43" s="37">
        <v>0.88</v>
      </c>
      <c r="F43" s="37">
        <v>-0.56</v>
      </c>
      <c r="G43" s="37">
        <v>-0.43</v>
      </c>
      <c r="H43" s="37">
        <v>0.19</v>
      </c>
      <c r="I43" s="37">
        <v>0.9</v>
      </c>
      <c r="J43" s="37">
        <v>0.5</v>
      </c>
      <c r="K43" s="34"/>
      <c r="L43" s="35" t="s">
        <v>19</v>
      </c>
      <c r="M43" s="38">
        <v>1.0</v>
      </c>
      <c r="N43" s="39">
        <v>-0.13048</v>
      </c>
      <c r="O43" s="39">
        <v>-0.0953</v>
      </c>
      <c r="P43" s="39">
        <v>0.066453</v>
      </c>
      <c r="Q43" s="39">
        <v>-0.1144</v>
      </c>
      <c r="R43" s="39">
        <v>-0.0172</v>
      </c>
      <c r="S43" s="39">
        <v>-0.03239</v>
      </c>
      <c r="T43" s="39">
        <v>-0.18882</v>
      </c>
      <c r="U43" s="39">
        <v>-0.31128</v>
      </c>
      <c r="V43" s="40">
        <v>0.348723</v>
      </c>
      <c r="W43" s="34"/>
      <c r="X43" s="34"/>
    </row>
    <row r="44">
      <c r="A44" s="36">
        <v>-0.99</v>
      </c>
      <c r="B44" s="37">
        <v>0.7</v>
      </c>
      <c r="C44" s="37">
        <v>2.9</v>
      </c>
      <c r="D44" s="37">
        <v>-0.31</v>
      </c>
      <c r="E44" s="37">
        <v>-0.34</v>
      </c>
      <c r="F44" s="37">
        <v>-0.93</v>
      </c>
      <c r="G44" s="37">
        <v>-1.04</v>
      </c>
      <c r="H44" s="37">
        <v>0.9</v>
      </c>
      <c r="I44" s="37">
        <v>0.79</v>
      </c>
      <c r="J44" s="37">
        <v>-0.72</v>
      </c>
      <c r="K44" s="34"/>
      <c r="L44" s="35" t="s">
        <v>20</v>
      </c>
      <c r="M44" s="41">
        <v>-0.13048</v>
      </c>
      <c r="N44" s="42">
        <v>1.0</v>
      </c>
      <c r="O44" s="42">
        <v>0.323183</v>
      </c>
      <c r="P44" s="42">
        <v>-0.04344</v>
      </c>
      <c r="Q44" s="42">
        <v>-0.07704</v>
      </c>
      <c r="R44" s="42">
        <v>-0.16421</v>
      </c>
      <c r="S44" s="42">
        <v>0.008734</v>
      </c>
      <c r="T44" s="42">
        <v>0.165836</v>
      </c>
      <c r="U44" s="42">
        <v>0.185237</v>
      </c>
      <c r="V44" s="43">
        <v>-0.12648</v>
      </c>
      <c r="W44" s="34"/>
      <c r="X44" s="34"/>
    </row>
    <row r="45">
      <c r="A45" s="36">
        <v>1.42</v>
      </c>
      <c r="B45" s="37">
        <v>-1.17</v>
      </c>
      <c r="C45" s="37">
        <v>-0.88</v>
      </c>
      <c r="D45" s="37">
        <v>-0.67</v>
      </c>
      <c r="E45" s="37">
        <v>-0.64</v>
      </c>
      <c r="F45" s="37">
        <v>0.41</v>
      </c>
      <c r="G45" s="37">
        <v>-1.5</v>
      </c>
      <c r="H45" s="37">
        <v>-1.25</v>
      </c>
      <c r="I45" s="37">
        <v>-1.13</v>
      </c>
      <c r="J45" s="37">
        <v>0.46</v>
      </c>
      <c r="K45" s="34"/>
      <c r="L45" s="35" t="s">
        <v>21</v>
      </c>
      <c r="M45" s="41">
        <v>-0.0953</v>
      </c>
      <c r="N45" s="42">
        <v>0.323183</v>
      </c>
      <c r="O45" s="42">
        <v>1.0</v>
      </c>
      <c r="P45" s="42">
        <v>-0.10132</v>
      </c>
      <c r="Q45" s="42">
        <v>-0.13887</v>
      </c>
      <c r="R45" s="42">
        <v>-0.38813</v>
      </c>
      <c r="S45" s="42">
        <v>-0.19545</v>
      </c>
      <c r="T45" s="42">
        <v>0.188379</v>
      </c>
      <c r="U45" s="42">
        <v>0.28908</v>
      </c>
      <c r="V45" s="43">
        <v>0.031016</v>
      </c>
      <c r="W45" s="34"/>
      <c r="X45" s="34"/>
    </row>
    <row r="46">
      <c r="A46" s="36">
        <v>-0.21</v>
      </c>
      <c r="B46" s="37">
        <v>-0.51</v>
      </c>
      <c r="C46" s="37">
        <v>-0.7</v>
      </c>
      <c r="D46" s="37">
        <v>1.57</v>
      </c>
      <c r="E46" s="37">
        <v>1.47</v>
      </c>
      <c r="F46" s="37">
        <v>-0.08</v>
      </c>
      <c r="G46" s="37">
        <v>0.03</v>
      </c>
      <c r="H46" s="37">
        <v>0.44</v>
      </c>
      <c r="I46" s="37">
        <v>0.42</v>
      </c>
      <c r="J46" s="37">
        <v>-0.83</v>
      </c>
      <c r="K46" s="34"/>
      <c r="L46" s="35" t="s">
        <v>22</v>
      </c>
      <c r="M46" s="41">
        <v>0.066453</v>
      </c>
      <c r="N46" s="42">
        <v>-0.04344</v>
      </c>
      <c r="O46" s="42">
        <v>-0.10132</v>
      </c>
      <c r="P46" s="42">
        <v>1.0</v>
      </c>
      <c r="Q46" s="42">
        <v>0.87831</v>
      </c>
      <c r="R46" s="42">
        <v>-0.09154</v>
      </c>
      <c r="S46" s="42">
        <v>-0.00292</v>
      </c>
      <c r="T46" s="42">
        <v>0.152502</v>
      </c>
      <c r="U46" s="42">
        <v>0.04999</v>
      </c>
      <c r="V46" s="43">
        <v>-0.10442</v>
      </c>
      <c r="W46" s="34"/>
      <c r="X46" s="34"/>
    </row>
    <row r="47">
      <c r="A47" s="36">
        <v>-0.51</v>
      </c>
      <c r="B47" s="37">
        <v>0.13</v>
      </c>
      <c r="C47" s="37">
        <v>-0.68</v>
      </c>
      <c r="D47" s="37">
        <v>-0.37</v>
      </c>
      <c r="E47" s="37">
        <v>-0.57</v>
      </c>
      <c r="F47" s="37">
        <v>1.4</v>
      </c>
      <c r="G47" s="37">
        <v>1.65</v>
      </c>
      <c r="H47" s="37">
        <v>0.46</v>
      </c>
      <c r="I47" s="37">
        <v>0.16</v>
      </c>
      <c r="J47" s="37">
        <v>-0.28</v>
      </c>
      <c r="K47" s="34"/>
      <c r="L47" s="35" t="s">
        <v>23</v>
      </c>
      <c r="M47" s="41">
        <v>-0.1144</v>
      </c>
      <c r="N47" s="42">
        <v>-0.07704</v>
      </c>
      <c r="O47" s="42">
        <v>-0.13887</v>
      </c>
      <c r="P47" s="42">
        <v>0.87831</v>
      </c>
      <c r="Q47" s="42">
        <v>1.0</v>
      </c>
      <c r="R47" s="42">
        <v>-0.17912</v>
      </c>
      <c r="S47" s="42">
        <v>-5.1E-4</v>
      </c>
      <c r="T47" s="42">
        <v>-0.0963</v>
      </c>
      <c r="U47" s="42">
        <v>0.100413</v>
      </c>
      <c r="V47" s="43">
        <v>-0.00781</v>
      </c>
      <c r="W47" s="34"/>
      <c r="X47" s="34"/>
    </row>
    <row r="48">
      <c r="A48" s="36">
        <v>-0.54</v>
      </c>
      <c r="B48" s="37">
        <v>-0.1</v>
      </c>
      <c r="C48" s="37">
        <v>-0.3</v>
      </c>
      <c r="D48" s="37">
        <v>1.73</v>
      </c>
      <c r="E48" s="37">
        <v>2.0</v>
      </c>
      <c r="F48" s="37">
        <v>-0.88</v>
      </c>
      <c r="G48" s="37">
        <v>0.02</v>
      </c>
      <c r="H48" s="37">
        <v>-0.2</v>
      </c>
      <c r="I48" s="37">
        <v>-0.11</v>
      </c>
      <c r="J48" s="37">
        <v>0.46</v>
      </c>
      <c r="K48" s="34"/>
      <c r="L48" s="35" t="s">
        <v>24</v>
      </c>
      <c r="M48" s="41">
        <v>-0.0172</v>
      </c>
      <c r="N48" s="42">
        <v>-0.16421</v>
      </c>
      <c r="O48" s="42">
        <v>-0.38813</v>
      </c>
      <c r="P48" s="42">
        <v>-0.09154</v>
      </c>
      <c r="Q48" s="42">
        <v>-0.17912</v>
      </c>
      <c r="R48" s="42">
        <v>1.0</v>
      </c>
      <c r="S48" s="42">
        <v>0.574222</v>
      </c>
      <c r="T48" s="42">
        <v>0.063522</v>
      </c>
      <c r="U48" s="42">
        <v>0.28019</v>
      </c>
      <c r="V48" s="43">
        <v>-0.29209</v>
      </c>
      <c r="W48" s="34"/>
      <c r="X48" s="34"/>
    </row>
    <row r="49">
      <c r="A49" s="36">
        <v>-0.57</v>
      </c>
      <c r="B49" s="37">
        <v>-0.67</v>
      </c>
      <c r="C49" s="37">
        <v>-0.74</v>
      </c>
      <c r="D49" s="37">
        <v>-0.39</v>
      </c>
      <c r="E49" s="37">
        <v>-0.76</v>
      </c>
      <c r="F49" s="37">
        <v>2.21</v>
      </c>
      <c r="G49" s="37">
        <v>0.01</v>
      </c>
      <c r="H49" s="37">
        <v>1.14</v>
      </c>
      <c r="I49" s="37">
        <v>0.36</v>
      </c>
      <c r="J49" s="37">
        <v>-0.8</v>
      </c>
      <c r="K49" s="34"/>
      <c r="L49" s="35" t="s">
        <v>25</v>
      </c>
      <c r="M49" s="41">
        <v>-0.03239</v>
      </c>
      <c r="N49" s="42">
        <v>0.008734</v>
      </c>
      <c r="O49" s="42">
        <v>-0.19545</v>
      </c>
      <c r="P49" s="42">
        <v>-0.00292</v>
      </c>
      <c r="Q49" s="42">
        <v>-5.1E-4</v>
      </c>
      <c r="R49" s="42">
        <v>0.574222</v>
      </c>
      <c r="S49" s="42">
        <v>1.0</v>
      </c>
      <c r="T49" s="42">
        <v>0.070585</v>
      </c>
      <c r="U49" s="42">
        <v>-0.08365</v>
      </c>
      <c r="V49" s="43">
        <v>0.003741</v>
      </c>
      <c r="W49" s="34"/>
      <c r="X49" s="34"/>
    </row>
    <row r="50">
      <c r="A50" s="36">
        <v>-0.52</v>
      </c>
      <c r="B50" s="37">
        <v>0.09</v>
      </c>
      <c r="C50" s="37">
        <v>-0.49</v>
      </c>
      <c r="D50" s="37">
        <v>-0.3</v>
      </c>
      <c r="E50" s="37">
        <v>-0.51</v>
      </c>
      <c r="F50" s="37">
        <v>1.6</v>
      </c>
      <c r="G50" s="37">
        <v>1.01</v>
      </c>
      <c r="H50" s="37">
        <v>0.18</v>
      </c>
      <c r="I50" s="37">
        <v>0.4</v>
      </c>
      <c r="J50" s="37">
        <v>-1.47</v>
      </c>
      <c r="K50" s="34"/>
      <c r="L50" s="35" t="s">
        <v>26</v>
      </c>
      <c r="M50" s="41">
        <v>-0.18882</v>
      </c>
      <c r="N50" s="42">
        <v>0.165836</v>
      </c>
      <c r="O50" s="42">
        <v>0.188379</v>
      </c>
      <c r="P50" s="42">
        <v>0.152502</v>
      </c>
      <c r="Q50" s="42">
        <v>-0.0963</v>
      </c>
      <c r="R50" s="42">
        <v>0.063522</v>
      </c>
      <c r="S50" s="42">
        <v>0.070585</v>
      </c>
      <c r="T50" s="42">
        <v>1.0</v>
      </c>
      <c r="U50" s="42">
        <v>0.263389</v>
      </c>
      <c r="V50" s="43">
        <v>-0.12505</v>
      </c>
      <c r="W50" s="34"/>
      <c r="X50" s="34"/>
    </row>
    <row r="51">
      <c r="A51" s="36">
        <v>-1.16</v>
      </c>
      <c r="B51" s="37">
        <v>1.73</v>
      </c>
      <c r="C51" s="37">
        <v>1.64</v>
      </c>
      <c r="D51" s="37">
        <v>-0.36</v>
      </c>
      <c r="E51" s="37">
        <v>-0.34</v>
      </c>
      <c r="F51" s="37">
        <v>-0.86</v>
      </c>
      <c r="G51" s="37">
        <v>-1.33</v>
      </c>
      <c r="H51" s="37">
        <v>0.55</v>
      </c>
      <c r="I51" s="37">
        <v>1.07</v>
      </c>
      <c r="J51" s="37">
        <v>-0.93</v>
      </c>
      <c r="K51" s="34"/>
      <c r="L51" s="35" t="s">
        <v>27</v>
      </c>
      <c r="M51" s="41">
        <v>-0.31128</v>
      </c>
      <c r="N51" s="42">
        <v>0.185237</v>
      </c>
      <c r="O51" s="42">
        <v>0.28908</v>
      </c>
      <c r="P51" s="42">
        <v>0.04999</v>
      </c>
      <c r="Q51" s="42">
        <v>0.100413</v>
      </c>
      <c r="R51" s="42">
        <v>0.28019</v>
      </c>
      <c r="S51" s="42">
        <v>-0.08365</v>
      </c>
      <c r="T51" s="42">
        <v>0.263389</v>
      </c>
      <c r="U51" s="42">
        <v>1.0</v>
      </c>
      <c r="V51" s="43">
        <v>-0.07617</v>
      </c>
      <c r="W51" s="34"/>
      <c r="X51" s="34"/>
    </row>
    <row r="52">
      <c r="A52" s="36">
        <v>1.68</v>
      </c>
      <c r="B52" s="37">
        <v>-1.41</v>
      </c>
      <c r="C52" s="37">
        <v>-0.71</v>
      </c>
      <c r="D52" s="37">
        <v>-0.6</v>
      </c>
      <c r="E52" s="37">
        <v>-0.56</v>
      </c>
      <c r="F52" s="37">
        <v>0.21</v>
      </c>
      <c r="G52" s="37">
        <v>1.03</v>
      </c>
      <c r="H52" s="37">
        <v>-1.27</v>
      </c>
      <c r="I52" s="37">
        <v>-2.01</v>
      </c>
      <c r="J52" s="37">
        <v>0.79</v>
      </c>
      <c r="K52" s="34"/>
      <c r="L52" s="35" t="s">
        <v>28</v>
      </c>
      <c r="M52" s="44">
        <v>0.348723</v>
      </c>
      <c r="N52" s="45">
        <v>-0.12648</v>
      </c>
      <c r="O52" s="45">
        <v>0.031016</v>
      </c>
      <c r="P52" s="45">
        <v>-0.10442</v>
      </c>
      <c r="Q52" s="45">
        <v>-0.00781</v>
      </c>
      <c r="R52" s="45">
        <v>-0.29209</v>
      </c>
      <c r="S52" s="45">
        <v>0.003741</v>
      </c>
      <c r="T52" s="45">
        <v>-0.12505</v>
      </c>
      <c r="U52" s="45">
        <v>-0.07617</v>
      </c>
      <c r="V52" s="46">
        <v>1.0</v>
      </c>
      <c r="W52" s="34"/>
      <c r="X52" s="34"/>
    </row>
    <row r="53">
      <c r="A53" s="36">
        <v>1.07</v>
      </c>
      <c r="B53" s="37">
        <v>-1.05</v>
      </c>
      <c r="C53" s="37">
        <v>-0.76</v>
      </c>
      <c r="D53" s="37">
        <v>-0.82</v>
      </c>
      <c r="E53" s="37">
        <v>-0.57</v>
      </c>
      <c r="F53" s="37">
        <v>-0.45</v>
      </c>
      <c r="G53" s="37">
        <v>-0.3</v>
      </c>
      <c r="H53" s="37">
        <v>-1.67</v>
      </c>
      <c r="I53" s="37">
        <v>-1.75</v>
      </c>
      <c r="J53" s="37">
        <v>0.76</v>
      </c>
      <c r="K53" s="34"/>
      <c r="L53" s="34"/>
      <c r="M53" s="42">
        <v>0.29911</v>
      </c>
      <c r="N53" s="42">
        <v>0.234148</v>
      </c>
      <c r="O53" s="42">
        <v>0.451943</v>
      </c>
      <c r="P53" s="42">
        <v>0.833045</v>
      </c>
      <c r="Q53" s="42">
        <v>0.861236</v>
      </c>
      <c r="R53" s="42">
        <v>0.715956</v>
      </c>
      <c r="S53" s="42">
        <v>0.381059</v>
      </c>
      <c r="T53" s="42">
        <v>0.2252</v>
      </c>
      <c r="U53" s="42">
        <v>0.388035</v>
      </c>
      <c r="V53" s="42">
        <v>0.256303</v>
      </c>
      <c r="W53" s="42">
        <v>4.646036</v>
      </c>
      <c r="X53" s="34"/>
    </row>
    <row r="54">
      <c r="A54" s="36">
        <v>0.86</v>
      </c>
      <c r="B54" s="37">
        <v>-0.83</v>
      </c>
      <c r="C54" s="37">
        <v>-0.91</v>
      </c>
      <c r="D54" s="37">
        <v>-0.21</v>
      </c>
      <c r="E54" s="37">
        <v>-0.53</v>
      </c>
      <c r="F54" s="37">
        <v>-0.09</v>
      </c>
      <c r="G54" s="37">
        <v>-0.45</v>
      </c>
      <c r="H54" s="37">
        <v>-1.32</v>
      </c>
      <c r="I54" s="37">
        <v>-1.65</v>
      </c>
      <c r="J54" s="37">
        <v>1.37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>
      <c r="A55" s="36">
        <v>2.97</v>
      </c>
      <c r="B55" s="37">
        <v>-1.07</v>
      </c>
      <c r="C55" s="37">
        <v>-0.7</v>
      </c>
      <c r="D55" s="37">
        <v>-0.81</v>
      </c>
      <c r="E55" s="37">
        <v>-0.61</v>
      </c>
      <c r="F55" s="37">
        <v>0.51</v>
      </c>
      <c r="G55" s="37">
        <v>-0.31</v>
      </c>
      <c r="H55" s="37">
        <v>-1.14</v>
      </c>
      <c r="I55" s="37">
        <v>-1.28</v>
      </c>
      <c r="J55" s="37">
        <v>1.09</v>
      </c>
      <c r="K55" s="34"/>
      <c r="L55" s="35" t="s">
        <v>39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>
      <c r="A56" s="36">
        <v>-0.17</v>
      </c>
      <c r="B56" s="37">
        <v>0.33</v>
      </c>
      <c r="C56" s="37">
        <v>-0.38</v>
      </c>
      <c r="D56" s="37">
        <v>-0.79</v>
      </c>
      <c r="E56" s="37">
        <v>-0.66</v>
      </c>
      <c r="F56" s="37">
        <v>1.45</v>
      </c>
      <c r="G56" s="37">
        <v>1.18</v>
      </c>
      <c r="H56" s="37">
        <v>0.55</v>
      </c>
      <c r="I56" s="37">
        <v>0.35</v>
      </c>
      <c r="J56" s="37">
        <v>-1.31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>
      <c r="A57" s="36">
        <v>1.67</v>
      </c>
      <c r="B57" s="37">
        <v>-0.93</v>
      </c>
      <c r="C57" s="37">
        <v>-0.76</v>
      </c>
      <c r="D57" s="37">
        <v>-0.49</v>
      </c>
      <c r="E57" s="37">
        <v>-0.48</v>
      </c>
      <c r="F57" s="37">
        <v>0.01</v>
      </c>
      <c r="G57" s="37">
        <v>0.01</v>
      </c>
      <c r="H57" s="37">
        <v>-1.71</v>
      </c>
      <c r="I57" s="37">
        <v>-1.36</v>
      </c>
      <c r="J57" s="37">
        <v>1.41</v>
      </c>
      <c r="K57" s="34"/>
      <c r="L57" s="34"/>
      <c r="M57" s="35" t="s">
        <v>19</v>
      </c>
      <c r="N57" s="35" t="s">
        <v>20</v>
      </c>
      <c r="O57" s="35" t="s">
        <v>21</v>
      </c>
      <c r="P57" s="35" t="s">
        <v>22</v>
      </c>
      <c r="Q57" s="35" t="s">
        <v>23</v>
      </c>
      <c r="R57" s="35" t="s">
        <v>24</v>
      </c>
      <c r="S57" s="35" t="s">
        <v>25</v>
      </c>
      <c r="T57" s="35" t="s">
        <v>26</v>
      </c>
      <c r="U57" s="35" t="s">
        <v>27</v>
      </c>
      <c r="V57" s="35" t="s">
        <v>28</v>
      </c>
      <c r="W57" s="34"/>
      <c r="X57" s="34"/>
    </row>
    <row r="58">
      <c r="A58" s="36">
        <v>-0.91</v>
      </c>
      <c r="B58" s="37">
        <v>0.6</v>
      </c>
      <c r="C58" s="37">
        <v>0.98</v>
      </c>
      <c r="D58" s="37">
        <v>-0.13</v>
      </c>
      <c r="E58" s="37">
        <v>-0.35</v>
      </c>
      <c r="F58" s="37">
        <v>-0.79</v>
      </c>
      <c r="G58" s="37">
        <v>-1.11</v>
      </c>
      <c r="H58" s="37">
        <v>1.0</v>
      </c>
      <c r="I58" s="37">
        <v>1.33</v>
      </c>
      <c r="J58" s="37">
        <v>-0.71</v>
      </c>
      <c r="K58" s="34"/>
      <c r="L58" s="34"/>
      <c r="M58" s="50">
        <v>0.908544</v>
      </c>
      <c r="N58" s="51">
        <v>0.925654</v>
      </c>
      <c r="O58" s="51">
        <v>0.857895</v>
      </c>
      <c r="P58" s="51">
        <v>0.571226</v>
      </c>
      <c r="Q58" s="51">
        <v>0.558064</v>
      </c>
      <c r="R58" s="51">
        <v>0.630175</v>
      </c>
      <c r="S58" s="51">
        <v>0.781969</v>
      </c>
      <c r="T58" s="51">
        <v>0.92864</v>
      </c>
      <c r="U58" s="51">
        <v>0.8886</v>
      </c>
      <c r="V58" s="51">
        <v>0.888939</v>
      </c>
      <c r="W58" s="52">
        <v>0.822144</v>
      </c>
      <c r="X58" s="34"/>
    </row>
    <row r="59">
      <c r="A59" s="36">
        <v>-0.94</v>
      </c>
      <c r="B59" s="37">
        <v>1.06</v>
      </c>
      <c r="C59" s="37">
        <v>1.32</v>
      </c>
      <c r="D59" s="37">
        <v>-0.38</v>
      </c>
      <c r="E59" s="37">
        <v>-0.3</v>
      </c>
      <c r="F59" s="37">
        <v>-1.01</v>
      </c>
      <c r="G59" s="37">
        <v>-0.63</v>
      </c>
      <c r="H59" s="37">
        <v>0.49</v>
      </c>
      <c r="I59" s="37">
        <v>0.93</v>
      </c>
      <c r="J59" s="37">
        <v>-0.67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>
      <c r="A60" s="36">
        <v>-0.74</v>
      </c>
      <c r="B60" s="37">
        <v>1.43</v>
      </c>
      <c r="C60" s="37">
        <v>2.09</v>
      </c>
      <c r="D60" s="37">
        <v>-0.59</v>
      </c>
      <c r="E60" s="37">
        <v>-0.29</v>
      </c>
      <c r="F60" s="37">
        <v>-0.75</v>
      </c>
      <c r="G60" s="37">
        <v>-1.09</v>
      </c>
      <c r="H60" s="37">
        <v>1.56</v>
      </c>
      <c r="I60" s="37">
        <v>0.81</v>
      </c>
      <c r="J60" s="37">
        <v>0.21</v>
      </c>
      <c r="K60" s="34"/>
      <c r="L60" s="35" t="s">
        <v>40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>
      <c r="A61" s="36">
        <v>0.98</v>
      </c>
      <c r="B61" s="37">
        <v>-0.51</v>
      </c>
      <c r="C61" s="37">
        <v>-0.51</v>
      </c>
      <c r="D61" s="37">
        <v>2.37</v>
      </c>
      <c r="E61" s="37">
        <v>2.46</v>
      </c>
      <c r="F61" s="37">
        <v>-0.68</v>
      </c>
      <c r="G61" s="37">
        <v>-0.5</v>
      </c>
      <c r="H61" s="37">
        <v>-0.24</v>
      </c>
      <c r="I61" s="37">
        <v>-0.46</v>
      </c>
      <c r="J61" s="37">
        <v>-0.71</v>
      </c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>
      <c r="A62" s="36">
        <v>-0.51</v>
      </c>
      <c r="B62" s="37">
        <v>-0.68</v>
      </c>
      <c r="C62" s="37">
        <v>-0.42</v>
      </c>
      <c r="D62" s="37">
        <v>1.93</v>
      </c>
      <c r="E62" s="37">
        <v>2.45</v>
      </c>
      <c r="F62" s="37">
        <v>-0.81</v>
      </c>
      <c r="G62" s="37">
        <v>0.05</v>
      </c>
      <c r="H62" s="37">
        <v>-0.21</v>
      </c>
      <c r="I62" s="37">
        <v>0.09</v>
      </c>
      <c r="J62" s="37">
        <v>0.24</v>
      </c>
      <c r="K62" s="34"/>
      <c r="L62" s="34"/>
      <c r="M62" s="50">
        <v>4.74623</v>
      </c>
      <c r="N62" s="51">
        <v>2.262021</v>
      </c>
      <c r="O62" s="51">
        <v>1.906686</v>
      </c>
      <c r="P62" s="51">
        <v>0.273189</v>
      </c>
      <c r="Q62" s="51">
        <v>0.19469</v>
      </c>
      <c r="R62" s="51">
        <v>0.176028</v>
      </c>
      <c r="S62" s="51">
        <v>0.155709</v>
      </c>
      <c r="T62" s="51">
        <v>0.130812</v>
      </c>
      <c r="U62" s="51">
        <v>0.096164</v>
      </c>
      <c r="V62" s="53">
        <v>0.058473</v>
      </c>
      <c r="W62" s="34"/>
      <c r="X62" s="34"/>
    </row>
    <row r="63">
      <c r="A63" s="36">
        <v>-0.56</v>
      </c>
      <c r="B63" s="37">
        <v>-0.2</v>
      </c>
      <c r="C63" s="37">
        <v>-0.39</v>
      </c>
      <c r="D63" s="37">
        <v>2.02</v>
      </c>
      <c r="E63" s="37">
        <v>1.98</v>
      </c>
      <c r="F63" s="37">
        <v>0.11</v>
      </c>
      <c r="G63" s="37">
        <v>-0.59</v>
      </c>
      <c r="H63" s="37">
        <v>-0.35</v>
      </c>
      <c r="I63" s="37">
        <v>-0.15</v>
      </c>
      <c r="J63" s="37">
        <v>-0.49</v>
      </c>
      <c r="K63" s="34"/>
      <c r="L63" s="34"/>
      <c r="M63" s="41">
        <v>-0.41074</v>
      </c>
      <c r="N63" s="42">
        <v>-0.12799</v>
      </c>
      <c r="O63" s="42">
        <v>-0.13521</v>
      </c>
      <c r="P63" s="42">
        <v>-0.08099</v>
      </c>
      <c r="Q63" s="42">
        <v>-0.10451</v>
      </c>
      <c r="R63" s="42">
        <v>-0.55121</v>
      </c>
      <c r="S63" s="42">
        <v>-0.59927</v>
      </c>
      <c r="T63" s="42">
        <v>-0.30011</v>
      </c>
      <c r="U63" s="42">
        <v>-0.14049</v>
      </c>
      <c r="V63" s="43">
        <v>-0.07991</v>
      </c>
      <c r="W63" s="34"/>
      <c r="X63" s="34"/>
    </row>
    <row r="64">
      <c r="A64" s="36">
        <v>1.06</v>
      </c>
      <c r="B64" s="37">
        <v>-0.81</v>
      </c>
      <c r="C64" s="37">
        <v>-0.67</v>
      </c>
      <c r="D64" s="37">
        <v>-0.79</v>
      </c>
      <c r="E64" s="37">
        <v>-0.72</v>
      </c>
      <c r="F64" s="37">
        <v>0.01</v>
      </c>
      <c r="G64" s="37">
        <v>-0.27</v>
      </c>
      <c r="H64" s="37">
        <v>-1.33</v>
      </c>
      <c r="I64" s="37">
        <v>-1.43</v>
      </c>
      <c r="J64" s="37">
        <v>0.69</v>
      </c>
      <c r="K64" s="34"/>
      <c r="L64" s="34"/>
      <c r="M64" s="41">
        <v>0.407529</v>
      </c>
      <c r="N64" s="42">
        <v>0.05896</v>
      </c>
      <c r="O64" s="42">
        <v>-0.19097</v>
      </c>
      <c r="P64" s="42">
        <v>-0.16958</v>
      </c>
      <c r="Q64" s="42">
        <v>-0.59081</v>
      </c>
      <c r="R64" s="42">
        <v>0.034798</v>
      </c>
      <c r="S64" s="42">
        <v>-0.40338</v>
      </c>
      <c r="T64" s="42">
        <v>0.502042</v>
      </c>
      <c r="U64" s="42">
        <v>-0.00532</v>
      </c>
      <c r="V64" s="43">
        <v>-0.01254</v>
      </c>
      <c r="W64" s="34"/>
      <c r="X64" s="34"/>
    </row>
    <row r="65">
      <c r="A65" s="36">
        <v>0.64</v>
      </c>
      <c r="B65" s="37">
        <v>0.39</v>
      </c>
      <c r="C65" s="37">
        <v>-0.54</v>
      </c>
      <c r="D65" s="37">
        <v>1.71</v>
      </c>
      <c r="E65" s="37">
        <v>1.98</v>
      </c>
      <c r="F65" s="37">
        <v>-0.46</v>
      </c>
      <c r="G65" s="37">
        <v>-0.08</v>
      </c>
      <c r="H65" s="37">
        <v>0.76</v>
      </c>
      <c r="I65" s="37">
        <v>0.04</v>
      </c>
      <c r="J65" s="37">
        <v>-0.64</v>
      </c>
      <c r="K65" s="34"/>
      <c r="L65" s="34"/>
      <c r="M65" s="41">
        <v>0.382965</v>
      </c>
      <c r="N65" s="42">
        <v>-0.04995</v>
      </c>
      <c r="O65" s="42">
        <v>-0.33193</v>
      </c>
      <c r="P65" s="42">
        <v>-0.13847</v>
      </c>
      <c r="Q65" s="42">
        <v>-0.10447</v>
      </c>
      <c r="R65" s="42">
        <v>0.030447</v>
      </c>
      <c r="S65" s="42">
        <v>-0.0023</v>
      </c>
      <c r="T65" s="42">
        <v>-0.59944</v>
      </c>
      <c r="U65" s="42">
        <v>0.591084</v>
      </c>
      <c r="V65" s="43">
        <v>-0.03054</v>
      </c>
      <c r="W65" s="34"/>
      <c r="X65" s="34"/>
    </row>
    <row r="66">
      <c r="A66" s="36">
        <v>-0.68</v>
      </c>
      <c r="B66" s="37">
        <v>-0.66</v>
      </c>
      <c r="C66" s="37">
        <v>-0.42</v>
      </c>
      <c r="D66" s="37">
        <v>2.5</v>
      </c>
      <c r="E66" s="37">
        <v>1.69</v>
      </c>
      <c r="F66" s="37">
        <v>-0.48</v>
      </c>
      <c r="G66" s="37">
        <v>-0.34</v>
      </c>
      <c r="H66" s="37">
        <v>0.4</v>
      </c>
      <c r="I66" s="37">
        <v>1.19</v>
      </c>
      <c r="J66" s="37">
        <v>-0.48</v>
      </c>
      <c r="K66" s="34"/>
      <c r="L66" s="34"/>
      <c r="M66" s="41">
        <v>0.093271</v>
      </c>
      <c r="N66" s="42">
        <v>-0.44044</v>
      </c>
      <c r="O66" s="42">
        <v>0.502405</v>
      </c>
      <c r="P66" s="42">
        <v>-0.12133</v>
      </c>
      <c r="Q66" s="42">
        <v>-0.05518</v>
      </c>
      <c r="R66" s="42">
        <v>-0.07748</v>
      </c>
      <c r="S66" s="42">
        <v>-0.11591</v>
      </c>
      <c r="T66" s="42">
        <v>-0.00745</v>
      </c>
      <c r="U66" s="42">
        <v>0.177943</v>
      </c>
      <c r="V66" s="43">
        <v>0.689915</v>
      </c>
      <c r="W66" s="34"/>
      <c r="X66" s="34"/>
    </row>
    <row r="67">
      <c r="A67" s="36">
        <v>-0.5</v>
      </c>
      <c r="B67" s="37">
        <v>0.36</v>
      </c>
      <c r="C67" s="37">
        <v>-0.37</v>
      </c>
      <c r="D67" s="37">
        <v>-0.17</v>
      </c>
      <c r="E67" s="37">
        <v>-0.42</v>
      </c>
      <c r="F67" s="37">
        <v>1.41</v>
      </c>
      <c r="G67" s="37">
        <v>1.58</v>
      </c>
      <c r="H67" s="37">
        <v>0.82</v>
      </c>
      <c r="I67" s="37">
        <v>0.58</v>
      </c>
      <c r="J67" s="37">
        <v>-0.55</v>
      </c>
      <c r="K67" s="34"/>
      <c r="L67" s="34"/>
      <c r="M67" s="41">
        <v>0.074969</v>
      </c>
      <c r="N67" s="42">
        <v>-0.46169</v>
      </c>
      <c r="O67" s="42">
        <v>0.488386</v>
      </c>
      <c r="P67" s="42">
        <v>-0.09852</v>
      </c>
      <c r="Q67" s="42">
        <v>-0.06517</v>
      </c>
      <c r="R67" s="42">
        <v>0.100395</v>
      </c>
      <c r="S67" s="42">
        <v>-0.05994</v>
      </c>
      <c r="T67" s="42">
        <v>-0.00253</v>
      </c>
      <c r="U67" s="42">
        <v>0.107434</v>
      </c>
      <c r="V67" s="43">
        <v>-0.70959</v>
      </c>
      <c r="W67" s="34"/>
      <c r="X67" s="34"/>
    </row>
    <row r="68">
      <c r="A68" s="36">
        <v>-0.79</v>
      </c>
      <c r="B68" s="37">
        <v>1.97</v>
      </c>
      <c r="C68" s="37">
        <v>2.28</v>
      </c>
      <c r="D68" s="37">
        <v>-0.21</v>
      </c>
      <c r="E68" s="37">
        <v>-0.37</v>
      </c>
      <c r="F68" s="37">
        <v>-0.9</v>
      </c>
      <c r="G68" s="37">
        <v>-0.65</v>
      </c>
      <c r="H68" s="37">
        <v>0.53</v>
      </c>
      <c r="I68" s="37">
        <v>1.13</v>
      </c>
      <c r="J68" s="37">
        <v>-0.65</v>
      </c>
      <c r="K68" s="34"/>
      <c r="L68" s="34"/>
      <c r="M68" s="41">
        <v>-0.12806</v>
      </c>
      <c r="N68" s="42">
        <v>0.537013</v>
      </c>
      <c r="O68" s="42">
        <v>0.316235</v>
      </c>
      <c r="P68" s="42">
        <v>-0.01606</v>
      </c>
      <c r="Q68" s="42">
        <v>0.309564</v>
      </c>
      <c r="R68" s="42">
        <v>0.080168</v>
      </c>
      <c r="S68" s="42">
        <v>-0.42855</v>
      </c>
      <c r="T68" s="42">
        <v>0.174616</v>
      </c>
      <c r="U68" s="42">
        <v>0.52586</v>
      </c>
      <c r="V68" s="43">
        <v>-0.04495</v>
      </c>
      <c r="W68" s="34"/>
      <c r="X68" s="34"/>
    </row>
    <row r="69">
      <c r="A69" s="36">
        <v>1.46</v>
      </c>
      <c r="B69" s="37">
        <v>-0.79</v>
      </c>
      <c r="C69" s="37">
        <v>-0.79</v>
      </c>
      <c r="D69" s="37">
        <v>-0.68</v>
      </c>
      <c r="E69" s="37">
        <v>-0.8</v>
      </c>
      <c r="F69" s="37">
        <v>0.12</v>
      </c>
      <c r="G69" s="37">
        <v>0.43</v>
      </c>
      <c r="H69" s="37">
        <v>-1.08</v>
      </c>
      <c r="I69" s="37">
        <v>-1.57</v>
      </c>
      <c r="J69" s="37">
        <v>1.41</v>
      </c>
      <c r="K69" s="34"/>
      <c r="L69" s="34"/>
      <c r="M69" s="41">
        <v>-0.19721</v>
      </c>
      <c r="N69" s="42">
        <v>0.443663</v>
      </c>
      <c r="O69" s="42">
        <v>0.353494</v>
      </c>
      <c r="P69" s="42">
        <v>-0.47131</v>
      </c>
      <c r="Q69" s="42">
        <v>-0.49415</v>
      </c>
      <c r="R69" s="42">
        <v>0.036541</v>
      </c>
      <c r="S69" s="42">
        <v>0.25586</v>
      </c>
      <c r="T69" s="42">
        <v>-0.29645</v>
      </c>
      <c r="U69" s="42">
        <v>-0.13504</v>
      </c>
      <c r="V69" s="43">
        <v>0.008783</v>
      </c>
      <c r="W69" s="34"/>
      <c r="X69" s="34"/>
    </row>
    <row r="70">
      <c r="A70" s="36">
        <v>-0.92</v>
      </c>
      <c r="B70" s="37">
        <v>2.2</v>
      </c>
      <c r="C70" s="37">
        <v>1.5</v>
      </c>
      <c r="D70" s="37">
        <v>-0.27</v>
      </c>
      <c r="E70" s="37">
        <v>-0.23</v>
      </c>
      <c r="F70" s="37">
        <v>-0.89</v>
      </c>
      <c r="G70" s="37">
        <v>-1.29</v>
      </c>
      <c r="H70" s="37">
        <v>1.09</v>
      </c>
      <c r="I70" s="37">
        <v>1.38</v>
      </c>
      <c r="J70" s="37">
        <v>-0.95</v>
      </c>
      <c r="K70" s="34"/>
      <c r="L70" s="34"/>
      <c r="M70" s="41">
        <v>0.410541</v>
      </c>
      <c r="N70" s="42">
        <v>0.127523</v>
      </c>
      <c r="O70" s="42">
        <v>0.075544</v>
      </c>
      <c r="P70" s="42">
        <v>-0.34746</v>
      </c>
      <c r="Q70" s="42">
        <v>0.313121</v>
      </c>
      <c r="R70" s="42">
        <v>-0.70099</v>
      </c>
      <c r="S70" s="42">
        <v>0.24406</v>
      </c>
      <c r="T70" s="42">
        <v>0.173663</v>
      </c>
      <c r="U70" s="42">
        <v>-0.03048</v>
      </c>
      <c r="V70" s="43">
        <v>-0.09315</v>
      </c>
      <c r="W70" s="34"/>
      <c r="X70" s="34"/>
    </row>
    <row r="71">
      <c r="A71" s="36">
        <v>1.52</v>
      </c>
      <c r="B71" s="37">
        <v>-1.2</v>
      </c>
      <c r="C71" s="37">
        <v>-0.69</v>
      </c>
      <c r="D71" s="37">
        <v>-0.96</v>
      </c>
      <c r="E71" s="37">
        <v>-0.68</v>
      </c>
      <c r="F71" s="37">
        <v>-0.02</v>
      </c>
      <c r="G71" s="37">
        <v>0.97</v>
      </c>
      <c r="H71" s="37">
        <v>-1.45</v>
      </c>
      <c r="I71" s="37">
        <v>-1.64</v>
      </c>
      <c r="J71" s="37">
        <v>2.1</v>
      </c>
      <c r="K71" s="34"/>
      <c r="L71" s="34"/>
      <c r="M71" s="41">
        <v>0.420487</v>
      </c>
      <c r="N71" s="42">
        <v>0.106721</v>
      </c>
      <c r="O71" s="42">
        <v>0.098615</v>
      </c>
      <c r="P71" s="42">
        <v>-0.19358</v>
      </c>
      <c r="Q71" s="42">
        <v>0.343069</v>
      </c>
      <c r="R71" s="42">
        <v>0.328831</v>
      </c>
      <c r="S71" s="42">
        <v>-0.38995</v>
      </c>
      <c r="T71" s="42">
        <v>-0.31881</v>
      </c>
      <c r="U71" s="42">
        <v>-0.53255</v>
      </c>
      <c r="V71" s="43">
        <v>0.038197</v>
      </c>
      <c r="W71" s="34"/>
      <c r="X71" s="34"/>
    </row>
    <row r="72">
      <c r="A72" s="36">
        <v>0.57</v>
      </c>
      <c r="B72" s="37">
        <v>-1.47</v>
      </c>
      <c r="C72" s="37">
        <v>-0.77</v>
      </c>
      <c r="D72" s="37">
        <v>-0.77</v>
      </c>
      <c r="E72" s="37">
        <v>-0.75</v>
      </c>
      <c r="F72" s="37">
        <v>0.1</v>
      </c>
      <c r="G72" s="37">
        <v>0.2</v>
      </c>
      <c r="H72" s="37">
        <v>-1.53</v>
      </c>
      <c r="I72" s="37">
        <v>-1.85</v>
      </c>
      <c r="J72" s="37">
        <v>1.68</v>
      </c>
      <c r="K72" s="34"/>
      <c r="L72" s="34"/>
      <c r="M72" s="44">
        <v>-0.32185</v>
      </c>
      <c r="N72" s="45">
        <v>-0.24007</v>
      </c>
      <c r="O72" s="45">
        <v>-0.32209</v>
      </c>
      <c r="P72" s="45">
        <v>-0.73518</v>
      </c>
      <c r="Q72" s="45">
        <v>0.257018</v>
      </c>
      <c r="R72" s="45">
        <v>0.265831</v>
      </c>
      <c r="S72" s="45">
        <v>0.019318</v>
      </c>
      <c r="T72" s="45">
        <v>0.219832</v>
      </c>
      <c r="U72" s="45">
        <v>0.091335</v>
      </c>
      <c r="V72" s="46">
        <v>0.027997</v>
      </c>
      <c r="W72" s="34"/>
      <c r="X72" s="34"/>
    </row>
    <row r="73">
      <c r="A73" s="36">
        <v>-0.86</v>
      </c>
      <c r="B73" s="37">
        <v>1.26</v>
      </c>
      <c r="C73" s="37">
        <v>2.52</v>
      </c>
      <c r="D73" s="37">
        <v>-0.52</v>
      </c>
      <c r="E73" s="37">
        <v>-0.62</v>
      </c>
      <c r="F73" s="37">
        <v>-1.05</v>
      </c>
      <c r="G73" s="37">
        <v>-1.14</v>
      </c>
      <c r="H73" s="37">
        <v>1.11</v>
      </c>
      <c r="I73" s="37">
        <v>0.91</v>
      </c>
      <c r="J73" s="37">
        <v>-0.29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>
      <c r="A74" s="36">
        <v>-1.14</v>
      </c>
      <c r="B74" s="37">
        <v>2.12</v>
      </c>
      <c r="C74" s="37">
        <v>1.51</v>
      </c>
      <c r="D74" s="37">
        <v>-0.12</v>
      </c>
      <c r="E74" s="37">
        <v>-0.28</v>
      </c>
      <c r="F74" s="37">
        <v>-0.84</v>
      </c>
      <c r="G74" s="37">
        <v>-0.9</v>
      </c>
      <c r="H74" s="37">
        <v>1.23</v>
      </c>
      <c r="I74" s="37">
        <v>1.23</v>
      </c>
      <c r="J74" s="37">
        <v>0.17</v>
      </c>
      <c r="K74" s="34"/>
      <c r="L74" s="35" t="s">
        <v>41</v>
      </c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>
      <c r="A75" s="36">
        <v>1.56</v>
      </c>
      <c r="B75" s="37">
        <v>-0.91</v>
      </c>
      <c r="C75" s="37">
        <v>-0.82</v>
      </c>
      <c r="D75" s="37">
        <v>-0.42</v>
      </c>
      <c r="E75" s="37">
        <v>-0.7</v>
      </c>
      <c r="F75" s="37">
        <v>0.52</v>
      </c>
      <c r="G75" s="37">
        <v>0.03</v>
      </c>
      <c r="H75" s="37">
        <v>-1.67</v>
      </c>
      <c r="I75" s="37">
        <v>-1.45</v>
      </c>
      <c r="J75" s="37">
        <v>1.04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>
      <c r="A76" s="36">
        <v>-0.1</v>
      </c>
      <c r="B76" s="37">
        <v>-0.35</v>
      </c>
      <c r="C76" s="37">
        <v>-0.56</v>
      </c>
      <c r="D76" s="37">
        <v>-0.85</v>
      </c>
      <c r="E76" s="37">
        <v>-0.61</v>
      </c>
      <c r="F76" s="37">
        <v>0.62</v>
      </c>
      <c r="G76" s="37">
        <v>0.3</v>
      </c>
      <c r="H76" s="37">
        <v>0.63</v>
      </c>
      <c r="I76" s="37">
        <v>0.57</v>
      </c>
      <c r="J76" s="37">
        <v>-0.58</v>
      </c>
      <c r="K76" s="34"/>
      <c r="L76" s="34"/>
      <c r="M76" s="42">
        <v>1.0</v>
      </c>
      <c r="N76" s="42">
        <v>2.0</v>
      </c>
      <c r="O76" s="42">
        <v>3.0</v>
      </c>
      <c r="P76" s="42">
        <v>4.0</v>
      </c>
      <c r="Q76" s="42">
        <v>5.0</v>
      </c>
      <c r="R76" s="42">
        <v>6.0</v>
      </c>
      <c r="S76" s="42">
        <v>7.0</v>
      </c>
      <c r="T76" s="42">
        <v>8.0</v>
      </c>
      <c r="U76" s="42">
        <v>9.0</v>
      </c>
      <c r="V76" s="42">
        <v>10.0</v>
      </c>
      <c r="W76" s="34"/>
      <c r="X76" s="35" t="s">
        <v>42</v>
      </c>
    </row>
    <row r="77">
      <c r="A77" s="36">
        <v>-0.64</v>
      </c>
      <c r="B77" s="37">
        <v>-0.1</v>
      </c>
      <c r="C77" s="37">
        <v>-0.48</v>
      </c>
      <c r="D77" s="37">
        <v>-0.71</v>
      </c>
      <c r="E77" s="37">
        <v>-0.25</v>
      </c>
      <c r="F77" s="37">
        <v>1.87</v>
      </c>
      <c r="G77" s="37">
        <v>1.1</v>
      </c>
      <c r="H77" s="37">
        <v>0.23</v>
      </c>
      <c r="I77" s="37">
        <v>0.36</v>
      </c>
      <c r="J77" s="37">
        <v>-1.47</v>
      </c>
      <c r="K77" s="34"/>
      <c r="L77" s="35" t="s">
        <v>19</v>
      </c>
      <c r="M77" s="38">
        <v>-0.89483</v>
      </c>
      <c r="N77" s="39">
        <v>-0.19249</v>
      </c>
      <c r="O77" s="39">
        <v>-0.1867</v>
      </c>
      <c r="P77" s="39">
        <v>-0.04233</v>
      </c>
      <c r="Q77" s="39">
        <v>-0.04611</v>
      </c>
      <c r="R77" s="39">
        <v>-0.23127</v>
      </c>
      <c r="S77" s="39">
        <v>-0.23647</v>
      </c>
      <c r="T77" s="39">
        <v>-0.10854</v>
      </c>
      <c r="U77" s="39">
        <v>-0.04357</v>
      </c>
      <c r="V77" s="40">
        <v>-0.01932</v>
      </c>
      <c r="W77" s="34"/>
      <c r="X77" s="47">
        <v>1.0</v>
      </c>
    </row>
    <row r="78">
      <c r="A78" s="36">
        <v>1.29</v>
      </c>
      <c r="B78" s="37">
        <v>-1.2</v>
      </c>
      <c r="C78" s="37">
        <v>-0.91</v>
      </c>
      <c r="D78" s="37">
        <v>-0.74</v>
      </c>
      <c r="E78" s="37">
        <v>-0.34</v>
      </c>
      <c r="F78" s="37">
        <v>0.08</v>
      </c>
      <c r="G78" s="37">
        <v>-0.28</v>
      </c>
      <c r="H78" s="37">
        <v>-1.34</v>
      </c>
      <c r="I78" s="37">
        <v>-1.09</v>
      </c>
      <c r="J78" s="37">
        <v>1.7</v>
      </c>
      <c r="K78" s="34"/>
      <c r="L78" s="35" t="s">
        <v>20</v>
      </c>
      <c r="M78" s="41">
        <v>0.887837</v>
      </c>
      <c r="N78" s="42">
        <v>0.088675</v>
      </c>
      <c r="O78" s="42">
        <v>-0.2637</v>
      </c>
      <c r="P78" s="42">
        <v>-0.08863</v>
      </c>
      <c r="Q78" s="42">
        <v>-0.26069</v>
      </c>
      <c r="R78" s="42">
        <v>0.0146</v>
      </c>
      <c r="S78" s="42">
        <v>-0.15917</v>
      </c>
      <c r="T78" s="42">
        <v>0.181578</v>
      </c>
      <c r="U78" s="42">
        <v>-0.00165</v>
      </c>
      <c r="V78" s="43">
        <v>-0.00303</v>
      </c>
      <c r="W78" s="34"/>
      <c r="X78" s="48">
        <v>1.0</v>
      </c>
    </row>
    <row r="79">
      <c r="A79" s="36">
        <v>-0.94</v>
      </c>
      <c r="B79" s="37">
        <v>0.96</v>
      </c>
      <c r="C79" s="37">
        <v>1.92</v>
      </c>
      <c r="D79" s="37">
        <v>-0.25</v>
      </c>
      <c r="E79" s="37">
        <v>-0.18</v>
      </c>
      <c r="F79" s="37">
        <v>-0.8</v>
      </c>
      <c r="G79" s="37">
        <v>-0.71</v>
      </c>
      <c r="H79" s="37">
        <v>0.69</v>
      </c>
      <c r="I79" s="37">
        <v>1.47</v>
      </c>
      <c r="J79" s="37">
        <v>-0.37</v>
      </c>
      <c r="K79" s="34"/>
      <c r="L79" s="35" t="s">
        <v>21</v>
      </c>
      <c r="M79" s="41">
        <v>0.834322</v>
      </c>
      <c r="N79" s="42">
        <v>-0.07513</v>
      </c>
      <c r="O79" s="42">
        <v>-0.45834</v>
      </c>
      <c r="P79" s="42">
        <v>-0.07237</v>
      </c>
      <c r="Q79" s="42">
        <v>-0.0461</v>
      </c>
      <c r="R79" s="42">
        <v>0.012774</v>
      </c>
      <c r="S79" s="42">
        <v>-9.1E-4</v>
      </c>
      <c r="T79" s="42">
        <v>-0.21681</v>
      </c>
      <c r="U79" s="42">
        <v>0.183297</v>
      </c>
      <c r="V79" s="43">
        <v>-0.00739</v>
      </c>
      <c r="W79" s="34"/>
      <c r="X79" s="48">
        <v>1.0</v>
      </c>
    </row>
    <row r="80">
      <c r="A80" s="36">
        <v>0.88</v>
      </c>
      <c r="B80" s="37">
        <v>-0.65</v>
      </c>
      <c r="C80" s="37">
        <v>-0.08</v>
      </c>
      <c r="D80" s="37">
        <v>1.92</v>
      </c>
      <c r="E80" s="37">
        <v>1.64</v>
      </c>
      <c r="F80" s="37">
        <v>-0.67</v>
      </c>
      <c r="G80" s="37">
        <v>-0.46</v>
      </c>
      <c r="H80" s="37">
        <v>0.07</v>
      </c>
      <c r="I80" s="37">
        <v>0.33</v>
      </c>
      <c r="J80" s="37">
        <v>-0.5</v>
      </c>
      <c r="K80" s="34"/>
      <c r="L80" s="35" t="s">
        <v>22</v>
      </c>
      <c r="M80" s="41">
        <v>0.203198</v>
      </c>
      <c r="N80" s="42">
        <v>-0.66242</v>
      </c>
      <c r="O80" s="42">
        <v>0.693735</v>
      </c>
      <c r="P80" s="42">
        <v>-0.06341</v>
      </c>
      <c r="Q80" s="42">
        <v>-0.02435</v>
      </c>
      <c r="R80" s="42">
        <v>-0.03251</v>
      </c>
      <c r="S80" s="42">
        <v>-0.04574</v>
      </c>
      <c r="T80" s="42">
        <v>-0.00269</v>
      </c>
      <c r="U80" s="42">
        <v>0.055181</v>
      </c>
      <c r="V80" s="43">
        <v>0.166829</v>
      </c>
      <c r="W80" s="34"/>
      <c r="X80" s="48">
        <v>1.0</v>
      </c>
    </row>
    <row r="81">
      <c r="A81" s="36">
        <v>-0.96</v>
      </c>
      <c r="B81" s="37">
        <v>2.51</v>
      </c>
      <c r="C81" s="37">
        <v>2.46</v>
      </c>
      <c r="D81" s="37">
        <v>-0.24</v>
      </c>
      <c r="E81" s="37">
        <v>-0.34</v>
      </c>
      <c r="F81" s="37">
        <v>-0.9</v>
      </c>
      <c r="G81" s="37">
        <v>-0.88</v>
      </c>
      <c r="H81" s="37">
        <v>0.42</v>
      </c>
      <c r="I81" s="37">
        <v>0.91</v>
      </c>
      <c r="J81" s="37">
        <v>-1.25</v>
      </c>
      <c r="K81" s="34"/>
      <c r="L81" s="35" t="s">
        <v>23</v>
      </c>
      <c r="M81" s="41">
        <v>0.163326</v>
      </c>
      <c r="N81" s="42">
        <v>-0.69439</v>
      </c>
      <c r="O81" s="42">
        <v>0.674376</v>
      </c>
      <c r="P81" s="42">
        <v>-0.05149</v>
      </c>
      <c r="Q81" s="42">
        <v>-0.02876</v>
      </c>
      <c r="R81" s="42">
        <v>0.042122</v>
      </c>
      <c r="S81" s="42">
        <v>-0.02365</v>
      </c>
      <c r="T81" s="42">
        <v>-9.1E-4</v>
      </c>
      <c r="U81" s="42">
        <v>0.033316</v>
      </c>
      <c r="V81" s="43">
        <v>-0.17159</v>
      </c>
      <c r="W81" s="34"/>
      <c r="X81" s="48">
        <v>1.0</v>
      </c>
    </row>
    <row r="82">
      <c r="A82" s="36">
        <v>1.68</v>
      </c>
      <c r="B82" s="37">
        <v>-0.92</v>
      </c>
      <c r="C82" s="37">
        <v>-0.86</v>
      </c>
      <c r="D82" s="37">
        <v>-0.4</v>
      </c>
      <c r="E82" s="37">
        <v>-0.78</v>
      </c>
      <c r="F82" s="37">
        <v>-0.72</v>
      </c>
      <c r="G82" s="37">
        <v>0.19</v>
      </c>
      <c r="H82" s="37">
        <v>-1.26</v>
      </c>
      <c r="I82" s="37">
        <v>-1.01</v>
      </c>
      <c r="J82" s="37">
        <v>1.13</v>
      </c>
      <c r="K82" s="34"/>
      <c r="L82" s="35" t="s">
        <v>24</v>
      </c>
      <c r="M82" s="41">
        <v>-0.279</v>
      </c>
      <c r="N82" s="42">
        <v>0.807669</v>
      </c>
      <c r="O82" s="42">
        <v>0.436666</v>
      </c>
      <c r="P82" s="42">
        <v>-0.00839</v>
      </c>
      <c r="Q82" s="42">
        <v>0.136591</v>
      </c>
      <c r="R82" s="42">
        <v>0.033635</v>
      </c>
      <c r="S82" s="42">
        <v>-0.16911</v>
      </c>
      <c r="T82" s="42">
        <v>0.063155</v>
      </c>
      <c r="U82" s="42">
        <v>0.163071</v>
      </c>
      <c r="V82" s="43">
        <v>-0.01087</v>
      </c>
      <c r="W82" s="34"/>
      <c r="X82" s="48">
        <v>1.0</v>
      </c>
    </row>
    <row r="83">
      <c r="A83" s="36">
        <v>-0.03</v>
      </c>
      <c r="B83" s="37">
        <v>-0.09</v>
      </c>
      <c r="C83" s="37">
        <v>-0.51</v>
      </c>
      <c r="D83" s="37">
        <v>-0.34</v>
      </c>
      <c r="E83" s="37">
        <v>-0.41</v>
      </c>
      <c r="F83" s="37">
        <v>0.94</v>
      </c>
      <c r="G83" s="37">
        <v>2.1</v>
      </c>
      <c r="H83" s="37">
        <v>0.97</v>
      </c>
      <c r="I83" s="37">
        <v>0.07</v>
      </c>
      <c r="J83" s="37">
        <v>-0.59</v>
      </c>
      <c r="K83" s="34"/>
      <c r="L83" s="35" t="s">
        <v>25</v>
      </c>
      <c r="M83" s="41">
        <v>-0.42964</v>
      </c>
      <c r="N83" s="42">
        <v>0.66727</v>
      </c>
      <c r="O83" s="42">
        <v>0.488114</v>
      </c>
      <c r="P83" s="42">
        <v>-0.24634</v>
      </c>
      <c r="Q83" s="42">
        <v>-0.21804</v>
      </c>
      <c r="R83" s="42">
        <v>0.015331</v>
      </c>
      <c r="S83" s="42">
        <v>0.100962</v>
      </c>
      <c r="T83" s="42">
        <v>-0.10722</v>
      </c>
      <c r="U83" s="42">
        <v>-0.04188</v>
      </c>
      <c r="V83" s="43">
        <v>0.002124</v>
      </c>
      <c r="W83" s="34"/>
      <c r="X83" s="48">
        <v>1.0</v>
      </c>
    </row>
    <row r="84">
      <c r="A84" s="36">
        <v>0.17</v>
      </c>
      <c r="B84" s="37">
        <v>-0.25</v>
      </c>
      <c r="C84" s="37">
        <v>-0.53</v>
      </c>
      <c r="D84" s="37">
        <v>1.6</v>
      </c>
      <c r="E84" s="37">
        <v>1.87</v>
      </c>
      <c r="F84" s="37">
        <v>-0.23</v>
      </c>
      <c r="G84" s="37">
        <v>-0.12</v>
      </c>
      <c r="H84" s="37">
        <v>-0.28</v>
      </c>
      <c r="I84" s="37">
        <v>0.44</v>
      </c>
      <c r="J84" s="37">
        <v>-1.47</v>
      </c>
      <c r="K84" s="34"/>
      <c r="L84" s="35" t="s">
        <v>26</v>
      </c>
      <c r="M84" s="41">
        <v>0.894399</v>
      </c>
      <c r="N84" s="42">
        <v>0.191795</v>
      </c>
      <c r="O84" s="42">
        <v>0.104313</v>
      </c>
      <c r="P84" s="42">
        <v>-0.18161</v>
      </c>
      <c r="Q84" s="42">
        <v>0.13816</v>
      </c>
      <c r="R84" s="42">
        <v>-0.2941</v>
      </c>
      <c r="S84" s="42">
        <v>0.096306</v>
      </c>
      <c r="T84" s="42">
        <v>0.06281</v>
      </c>
      <c r="U84" s="42">
        <v>-0.00945</v>
      </c>
      <c r="V84" s="43">
        <v>-0.02252</v>
      </c>
      <c r="W84" s="34"/>
      <c r="X84" s="48">
        <v>1.0</v>
      </c>
    </row>
    <row r="85">
      <c r="A85" s="36">
        <v>-0.78</v>
      </c>
      <c r="B85" s="37">
        <v>0.35</v>
      </c>
      <c r="C85" s="37">
        <v>1.36</v>
      </c>
      <c r="D85" s="37">
        <v>-0.53</v>
      </c>
      <c r="E85" s="37">
        <v>-0.58</v>
      </c>
      <c r="F85" s="37">
        <v>-0.7</v>
      </c>
      <c r="G85" s="37">
        <v>-1.3</v>
      </c>
      <c r="H85" s="37">
        <v>1.17</v>
      </c>
      <c r="I85" s="37">
        <v>0.98</v>
      </c>
      <c r="J85" s="37">
        <v>-0.23</v>
      </c>
      <c r="K85" s="34"/>
      <c r="L85" s="35" t="s">
        <v>27</v>
      </c>
      <c r="M85" s="41">
        <v>0.916066</v>
      </c>
      <c r="N85" s="42">
        <v>0.160508</v>
      </c>
      <c r="O85" s="42">
        <v>0.136171</v>
      </c>
      <c r="P85" s="42">
        <v>-0.10118</v>
      </c>
      <c r="Q85" s="42">
        <v>0.151374</v>
      </c>
      <c r="R85" s="42">
        <v>0.137963</v>
      </c>
      <c r="S85" s="42">
        <v>-0.15388</v>
      </c>
      <c r="T85" s="42">
        <v>-0.11531</v>
      </c>
      <c r="U85" s="42">
        <v>-0.16515</v>
      </c>
      <c r="V85" s="43">
        <v>0.009237</v>
      </c>
      <c r="W85" s="34"/>
      <c r="X85" s="48">
        <v>1.0</v>
      </c>
    </row>
    <row r="86">
      <c r="A86" s="36">
        <v>-0.02</v>
      </c>
      <c r="B86" s="37">
        <v>-0.89</v>
      </c>
      <c r="C86" s="37">
        <v>-0.22</v>
      </c>
      <c r="D86" s="37">
        <v>1.67</v>
      </c>
      <c r="E86" s="37">
        <v>1.3</v>
      </c>
      <c r="F86" s="37">
        <v>-0.66</v>
      </c>
      <c r="G86" s="37">
        <v>0.25</v>
      </c>
      <c r="H86" s="37">
        <v>0.26</v>
      </c>
      <c r="I86" s="37">
        <v>-0.04</v>
      </c>
      <c r="J86" s="37">
        <v>-0.37</v>
      </c>
      <c r="K86" s="34"/>
      <c r="L86" s="35" t="s">
        <v>28</v>
      </c>
      <c r="M86" s="44">
        <v>-0.70117</v>
      </c>
      <c r="N86" s="45">
        <v>-0.36106</v>
      </c>
      <c r="O86" s="45">
        <v>-0.44476</v>
      </c>
      <c r="P86" s="45">
        <v>-0.38426</v>
      </c>
      <c r="Q86" s="45">
        <v>0.113406</v>
      </c>
      <c r="R86" s="45">
        <v>0.111531</v>
      </c>
      <c r="S86" s="45">
        <v>0.007623</v>
      </c>
      <c r="T86" s="45">
        <v>0.079509</v>
      </c>
      <c r="U86" s="45">
        <v>0.028323</v>
      </c>
      <c r="V86" s="46">
        <v>0.00677</v>
      </c>
      <c r="W86" s="34"/>
      <c r="X86" s="49">
        <v>1.0</v>
      </c>
    </row>
    <row r="87">
      <c r="A87" s="36">
        <v>-0.2</v>
      </c>
      <c r="B87" s="37">
        <v>0.51</v>
      </c>
      <c r="C87" s="37">
        <v>-0.34</v>
      </c>
      <c r="D87" s="37">
        <v>2.0</v>
      </c>
      <c r="E87" s="37">
        <v>2.26</v>
      </c>
      <c r="F87" s="37">
        <v>-0.48</v>
      </c>
      <c r="G87" s="37">
        <v>-0.44</v>
      </c>
      <c r="H87" s="37">
        <v>-0.2</v>
      </c>
      <c r="I87" s="37">
        <v>0.08</v>
      </c>
      <c r="J87" s="37">
        <v>-0.19</v>
      </c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>
      <c r="A88" s="36">
        <v>-0.14</v>
      </c>
      <c r="B88" s="37">
        <v>-0.06</v>
      </c>
      <c r="C88" s="37">
        <v>-0.36</v>
      </c>
      <c r="D88" s="37">
        <v>-0.52</v>
      </c>
      <c r="E88" s="37">
        <v>-0.51</v>
      </c>
      <c r="F88" s="37">
        <v>0.78</v>
      </c>
      <c r="G88" s="37">
        <v>1.77</v>
      </c>
      <c r="H88" s="37">
        <v>0.4</v>
      </c>
      <c r="I88" s="37">
        <v>0.64</v>
      </c>
      <c r="J88" s="37">
        <v>-1.47</v>
      </c>
      <c r="K88" s="34"/>
      <c r="L88" s="35" t="s">
        <v>43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>
      <c r="A89" s="36">
        <v>0.27</v>
      </c>
      <c r="B89" s="37">
        <v>-0.14</v>
      </c>
      <c r="C89" s="37">
        <v>-0.3</v>
      </c>
      <c r="D89" s="37">
        <v>-0.69</v>
      </c>
      <c r="E89" s="37">
        <v>-0.41</v>
      </c>
      <c r="F89" s="37">
        <v>1.14</v>
      </c>
      <c r="G89" s="37">
        <v>0.86</v>
      </c>
      <c r="H89" s="37">
        <v>1.26</v>
      </c>
      <c r="I89" s="37">
        <v>0.22</v>
      </c>
      <c r="J89" s="37">
        <v>-0.67</v>
      </c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>
      <c r="A90" s="36">
        <v>1.96</v>
      </c>
      <c r="B90" s="37">
        <v>-0.95</v>
      </c>
      <c r="C90" s="37">
        <v>-0.8</v>
      </c>
      <c r="D90" s="37">
        <v>-0.62</v>
      </c>
      <c r="E90" s="37">
        <v>-0.25</v>
      </c>
      <c r="F90" s="37">
        <v>-0.19</v>
      </c>
      <c r="G90" s="37">
        <v>0.17</v>
      </c>
      <c r="H90" s="37">
        <v>-1.26</v>
      </c>
      <c r="I90" s="37">
        <v>-1.17</v>
      </c>
      <c r="J90" s="37">
        <v>1.81</v>
      </c>
      <c r="K90" s="34"/>
      <c r="L90" s="34"/>
      <c r="M90" s="54" t="s">
        <v>44</v>
      </c>
      <c r="N90" s="54" t="s">
        <v>45</v>
      </c>
      <c r="O90" s="54" t="s">
        <v>46</v>
      </c>
      <c r="P90" s="34"/>
      <c r="Q90" s="34"/>
      <c r="R90" s="34"/>
      <c r="S90" s="34"/>
      <c r="T90" s="34"/>
      <c r="U90" s="34"/>
      <c r="V90" s="34"/>
      <c r="W90" s="34"/>
      <c r="X90" s="34"/>
    </row>
    <row r="91">
      <c r="A91" s="36">
        <v>0.23</v>
      </c>
      <c r="B91" s="37">
        <v>-0.84</v>
      </c>
      <c r="C91" s="37">
        <v>-0.1</v>
      </c>
      <c r="D91" s="37">
        <v>1.43</v>
      </c>
      <c r="E91" s="37">
        <v>1.99</v>
      </c>
      <c r="F91" s="37">
        <v>-0.74</v>
      </c>
      <c r="G91" s="37">
        <v>-0.36</v>
      </c>
      <c r="H91" s="37">
        <v>0.03</v>
      </c>
      <c r="I91" s="37">
        <v>0.25</v>
      </c>
      <c r="J91" s="37">
        <v>0.09</v>
      </c>
      <c r="K91" s="34"/>
      <c r="L91" s="34"/>
      <c r="M91" s="38">
        <v>4.74623</v>
      </c>
      <c r="N91" s="55">
        <v>0.4746</v>
      </c>
      <c r="O91" s="56">
        <v>0.4746</v>
      </c>
      <c r="P91" s="34"/>
      <c r="Q91" s="34"/>
      <c r="R91" s="34"/>
      <c r="S91" s="34"/>
      <c r="T91" s="34"/>
      <c r="U91" s="34"/>
      <c r="V91" s="34"/>
      <c r="W91" s="34"/>
      <c r="X91" s="34"/>
    </row>
    <row r="92">
      <c r="A92" s="36">
        <v>-0.71</v>
      </c>
      <c r="B92" s="37">
        <v>1.57</v>
      </c>
      <c r="C92" s="37">
        <v>1.42</v>
      </c>
      <c r="D92" s="37">
        <v>-0.15</v>
      </c>
      <c r="E92" s="37">
        <v>-0.12</v>
      </c>
      <c r="F92" s="37">
        <v>-1.16</v>
      </c>
      <c r="G92" s="37">
        <v>-0.89</v>
      </c>
      <c r="H92" s="37">
        <v>1.36</v>
      </c>
      <c r="I92" s="37">
        <v>0.89</v>
      </c>
      <c r="J92" s="37">
        <v>0.19</v>
      </c>
      <c r="K92" s="34"/>
      <c r="L92" s="34"/>
      <c r="M92" s="41">
        <v>2.262021</v>
      </c>
      <c r="N92" s="57">
        <v>0.2262</v>
      </c>
      <c r="O92" s="58">
        <v>0.7008</v>
      </c>
      <c r="P92" s="34"/>
      <c r="Q92" s="34"/>
      <c r="R92" s="34"/>
      <c r="S92" s="34"/>
      <c r="T92" s="34"/>
      <c r="U92" s="34"/>
      <c r="V92" s="34"/>
      <c r="W92" s="34"/>
      <c r="X92" s="34"/>
    </row>
    <row r="93">
      <c r="A93" s="36">
        <v>-0.4</v>
      </c>
      <c r="B93" s="37">
        <v>-0.03</v>
      </c>
      <c r="C93" s="37">
        <v>-0.51</v>
      </c>
      <c r="D93" s="37">
        <v>-0.5</v>
      </c>
      <c r="E93" s="37">
        <v>-0.73</v>
      </c>
      <c r="F93" s="37">
        <v>1.0</v>
      </c>
      <c r="G93" s="37">
        <v>2.16</v>
      </c>
      <c r="H93" s="37">
        <v>-0.25</v>
      </c>
      <c r="I93" s="37">
        <v>-0.06</v>
      </c>
      <c r="J93" s="37">
        <v>-1.47</v>
      </c>
      <c r="K93" s="34"/>
      <c r="L93" s="34"/>
      <c r="M93" s="41">
        <v>1.906686</v>
      </c>
      <c r="N93" s="57">
        <v>0.1907</v>
      </c>
      <c r="O93" s="58">
        <v>0.8915</v>
      </c>
      <c r="P93" s="34"/>
      <c r="Q93" s="34"/>
      <c r="R93" s="34"/>
      <c r="S93" s="34"/>
      <c r="T93" s="34"/>
      <c r="U93" s="34"/>
      <c r="V93" s="34"/>
      <c r="W93" s="34"/>
      <c r="X93" s="34"/>
    </row>
    <row r="94">
      <c r="A94" s="36">
        <v>1.06</v>
      </c>
      <c r="B94" s="37">
        <v>-1.33</v>
      </c>
      <c r="C94" s="37">
        <v>-0.65</v>
      </c>
      <c r="D94" s="37">
        <v>-0.5</v>
      </c>
      <c r="E94" s="37">
        <v>-0.7</v>
      </c>
      <c r="F94" s="37">
        <v>0.69</v>
      </c>
      <c r="G94" s="37">
        <v>0.63</v>
      </c>
      <c r="H94" s="37">
        <v>-1.49</v>
      </c>
      <c r="I94" s="37">
        <v>-2.02</v>
      </c>
      <c r="J94" s="37">
        <v>2.27</v>
      </c>
      <c r="K94" s="34"/>
      <c r="L94" s="34"/>
      <c r="M94" s="41">
        <v>0.273189</v>
      </c>
      <c r="N94" s="57">
        <v>0.0273</v>
      </c>
      <c r="O94" s="58">
        <v>0.9188</v>
      </c>
      <c r="P94" s="34"/>
      <c r="Q94" s="34"/>
      <c r="R94" s="34"/>
      <c r="S94" s="34"/>
      <c r="T94" s="34"/>
      <c r="U94" s="34"/>
      <c r="V94" s="34"/>
      <c r="W94" s="34"/>
      <c r="X94" s="34"/>
    </row>
    <row r="95">
      <c r="A95" s="36">
        <v>-0.77</v>
      </c>
      <c r="B95" s="37">
        <v>-0.77</v>
      </c>
      <c r="C95" s="37">
        <v>-0.32</v>
      </c>
      <c r="D95" s="37">
        <v>-0.06</v>
      </c>
      <c r="E95" s="37">
        <v>-0.27</v>
      </c>
      <c r="F95" s="37">
        <v>1.76</v>
      </c>
      <c r="G95" s="37">
        <v>1.58</v>
      </c>
      <c r="H95" s="37">
        <v>0.68</v>
      </c>
      <c r="I95" s="37">
        <v>0.56</v>
      </c>
      <c r="J95" s="37">
        <v>-0.64</v>
      </c>
      <c r="K95" s="34"/>
      <c r="L95" s="34"/>
      <c r="M95" s="41">
        <v>0.19469</v>
      </c>
      <c r="N95" s="57">
        <v>0.0195</v>
      </c>
      <c r="O95" s="58">
        <v>0.9383</v>
      </c>
      <c r="P95" s="34"/>
      <c r="Q95" s="34"/>
      <c r="R95" s="34"/>
      <c r="S95" s="34"/>
      <c r="T95" s="34"/>
      <c r="U95" s="34"/>
      <c r="V95" s="34"/>
      <c r="W95" s="34"/>
      <c r="X95" s="34"/>
    </row>
    <row r="96">
      <c r="A96" s="36">
        <v>1.5</v>
      </c>
      <c r="B96" s="37">
        <v>-1.07</v>
      </c>
      <c r="C96" s="37">
        <v>-0.89</v>
      </c>
      <c r="D96" s="37">
        <v>-0.73</v>
      </c>
      <c r="E96" s="37">
        <v>-0.85</v>
      </c>
      <c r="F96" s="37">
        <v>-0.2</v>
      </c>
      <c r="G96" s="37">
        <v>-0.53</v>
      </c>
      <c r="H96" s="37">
        <v>-1.62</v>
      </c>
      <c r="I96" s="37">
        <v>-1.43</v>
      </c>
      <c r="J96" s="37">
        <v>1.9</v>
      </c>
      <c r="K96" s="34"/>
      <c r="L96" s="34"/>
      <c r="M96" s="41">
        <v>0.176028</v>
      </c>
      <c r="N96" s="57">
        <v>0.0176</v>
      </c>
      <c r="O96" s="58">
        <v>0.9559</v>
      </c>
      <c r="P96" s="34"/>
      <c r="Q96" s="34"/>
      <c r="R96" s="34"/>
      <c r="S96" s="34"/>
      <c r="T96" s="34"/>
      <c r="U96" s="34"/>
      <c r="V96" s="34"/>
      <c r="W96" s="34"/>
      <c r="X96" s="34"/>
    </row>
    <row r="97">
      <c r="A97" s="36">
        <v>0.36</v>
      </c>
      <c r="B97" s="37">
        <v>-1.01</v>
      </c>
      <c r="C97" s="37">
        <v>-0.61</v>
      </c>
      <c r="D97" s="37">
        <v>2.19</v>
      </c>
      <c r="E97" s="37">
        <v>1.51</v>
      </c>
      <c r="F97" s="37">
        <v>-0.6</v>
      </c>
      <c r="G97" s="37">
        <v>-0.12</v>
      </c>
      <c r="H97" s="37">
        <v>-0.54</v>
      </c>
      <c r="I97" s="37">
        <v>0.16</v>
      </c>
      <c r="J97" s="37">
        <v>-0.96</v>
      </c>
      <c r="K97" s="34"/>
      <c r="L97" s="34"/>
      <c r="M97" s="41">
        <v>0.155709</v>
      </c>
      <c r="N97" s="57">
        <v>0.0156</v>
      </c>
      <c r="O97" s="58">
        <v>0.9715</v>
      </c>
      <c r="P97" s="34"/>
      <c r="Q97" s="34"/>
      <c r="R97" s="34"/>
      <c r="S97" s="34"/>
      <c r="T97" s="34"/>
      <c r="U97" s="34"/>
      <c r="V97" s="34"/>
      <c r="W97" s="34"/>
      <c r="X97" s="34"/>
    </row>
    <row r="98">
      <c r="A98" s="36">
        <v>-0.54</v>
      </c>
      <c r="B98" s="37">
        <v>0.06</v>
      </c>
      <c r="C98" s="37">
        <v>-0.75</v>
      </c>
      <c r="D98" s="37">
        <v>-0.42</v>
      </c>
      <c r="E98" s="37">
        <v>-0.53</v>
      </c>
      <c r="F98" s="37">
        <v>1.75</v>
      </c>
      <c r="G98" s="37">
        <v>1.36</v>
      </c>
      <c r="H98" s="37">
        <v>0.96</v>
      </c>
      <c r="I98" s="37">
        <v>0.33</v>
      </c>
      <c r="J98" s="37">
        <v>-0.94</v>
      </c>
      <c r="K98" s="34"/>
      <c r="L98" s="34"/>
      <c r="M98" s="41">
        <v>0.130812</v>
      </c>
      <c r="N98" s="57">
        <v>0.0131</v>
      </c>
      <c r="O98" s="58">
        <v>0.9845</v>
      </c>
      <c r="P98" s="34"/>
      <c r="Q98" s="34"/>
      <c r="R98" s="34"/>
      <c r="S98" s="34"/>
      <c r="T98" s="34"/>
      <c r="U98" s="34"/>
      <c r="V98" s="34"/>
      <c r="W98" s="34"/>
      <c r="X98" s="34"/>
    </row>
    <row r="99">
      <c r="A99" s="36">
        <v>0.0</v>
      </c>
      <c r="B99" s="37">
        <v>-0.13</v>
      </c>
      <c r="C99" s="37">
        <v>-0.41</v>
      </c>
      <c r="D99" s="37">
        <v>1.86</v>
      </c>
      <c r="E99" s="37">
        <v>1.62</v>
      </c>
      <c r="F99" s="37">
        <v>-0.72</v>
      </c>
      <c r="G99" s="37">
        <v>-0.89</v>
      </c>
      <c r="H99" s="37">
        <v>0.65</v>
      </c>
      <c r="I99" s="37">
        <v>-0.42</v>
      </c>
      <c r="J99" s="37">
        <v>-0.58</v>
      </c>
      <c r="K99" s="34"/>
      <c r="L99" s="34"/>
      <c r="M99" s="41">
        <v>0.096164</v>
      </c>
      <c r="N99" s="57">
        <v>0.0096</v>
      </c>
      <c r="O99" s="58">
        <v>0.9942</v>
      </c>
      <c r="P99" s="34"/>
      <c r="Q99" s="34"/>
      <c r="R99" s="34"/>
      <c r="S99" s="34"/>
      <c r="T99" s="34"/>
      <c r="U99" s="34"/>
      <c r="V99" s="34"/>
      <c r="W99" s="34"/>
      <c r="X99" s="34"/>
    </row>
    <row r="100">
      <c r="A100" s="36">
        <v>-1.06</v>
      </c>
      <c r="B100" s="37">
        <v>1.82</v>
      </c>
      <c r="C100" s="37">
        <v>1.4</v>
      </c>
      <c r="D100" s="37">
        <v>-0.1</v>
      </c>
      <c r="E100" s="37">
        <v>-0.47</v>
      </c>
      <c r="F100" s="37">
        <v>-0.87</v>
      </c>
      <c r="G100" s="37">
        <v>-1.45</v>
      </c>
      <c r="H100" s="37">
        <v>2.16</v>
      </c>
      <c r="I100" s="37">
        <v>0.58</v>
      </c>
      <c r="J100" s="37">
        <v>-0.31</v>
      </c>
      <c r="K100" s="34"/>
      <c r="L100" s="34"/>
      <c r="M100" s="44">
        <v>0.058473</v>
      </c>
      <c r="N100" s="59">
        <v>0.0058</v>
      </c>
      <c r="O100" s="60">
        <v>1.0</v>
      </c>
      <c r="P100" s="34"/>
      <c r="Q100" s="34"/>
      <c r="R100" s="34"/>
      <c r="S100" s="34"/>
      <c r="T100" s="34"/>
      <c r="U100" s="34"/>
      <c r="V100" s="34"/>
      <c r="W100" s="34"/>
      <c r="X100" s="34"/>
    </row>
    <row r="101">
      <c r="A101" s="36">
        <v>-0.86</v>
      </c>
      <c r="B101" s="37">
        <v>1.55</v>
      </c>
      <c r="C101" s="37">
        <v>1.45</v>
      </c>
      <c r="D101" s="37">
        <v>-0.35</v>
      </c>
      <c r="E101" s="37">
        <v>-0.33</v>
      </c>
      <c r="F101" s="37">
        <v>-0.95</v>
      </c>
      <c r="G101" s="37">
        <v>-0.74</v>
      </c>
      <c r="H101" s="37">
        <v>2.19</v>
      </c>
      <c r="I101" s="37">
        <v>0.8</v>
      </c>
      <c r="J101" s="37">
        <v>-1.11</v>
      </c>
      <c r="K101" s="34"/>
      <c r="L101" s="34"/>
      <c r="M101" s="42">
        <v>10.0</v>
      </c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>
      <c r="A102" s="36">
        <v>-0.97</v>
      </c>
      <c r="B102" s="37">
        <v>2.76</v>
      </c>
      <c r="C102" s="37">
        <v>1.13</v>
      </c>
      <c r="D102" s="37">
        <v>-0.03</v>
      </c>
      <c r="E102" s="37">
        <v>-0.03</v>
      </c>
      <c r="F102" s="37">
        <v>-1.03</v>
      </c>
      <c r="G102" s="37">
        <v>-0.9</v>
      </c>
      <c r="H102" s="37">
        <v>1.87</v>
      </c>
      <c r="I102" s="37">
        <v>0.86</v>
      </c>
      <c r="J102" s="37">
        <v>-0.56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>
      <c r="A103" s="36">
        <v>-0.53</v>
      </c>
      <c r="B103" s="37">
        <v>-0.5</v>
      </c>
      <c r="C103" s="37">
        <v>-0.59</v>
      </c>
      <c r="D103" s="37">
        <v>-0.72</v>
      </c>
      <c r="E103" s="37">
        <v>-0.52</v>
      </c>
      <c r="F103" s="37">
        <v>1.25</v>
      </c>
      <c r="G103" s="37">
        <v>1.37</v>
      </c>
      <c r="H103" s="37">
        <v>-0.64</v>
      </c>
      <c r="I103" s="37">
        <v>0.41</v>
      </c>
      <c r="J103" s="37">
        <v>-0.41</v>
      </c>
      <c r="K103" s="34"/>
      <c r="L103" s="35" t="s">
        <v>47</v>
      </c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>
      <c r="A104" s="36">
        <v>-0.95</v>
      </c>
      <c r="B104" s="37">
        <v>-0.2</v>
      </c>
      <c r="C104" s="37">
        <v>-0.18</v>
      </c>
      <c r="D104" s="37">
        <v>1.41</v>
      </c>
      <c r="E104" s="37">
        <v>2.5</v>
      </c>
      <c r="F104" s="37">
        <v>-0.43</v>
      </c>
      <c r="G104" s="37">
        <v>-0.61</v>
      </c>
      <c r="H104" s="37">
        <v>-0.14</v>
      </c>
      <c r="I104" s="37">
        <v>0.35</v>
      </c>
      <c r="J104" s="37">
        <v>-0.12</v>
      </c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>
      <c r="A105" s="36">
        <v>-0.19</v>
      </c>
      <c r="B105" s="37">
        <v>-0.46</v>
      </c>
      <c r="C105" s="37">
        <v>-0.46</v>
      </c>
      <c r="D105" s="37">
        <v>-0.76</v>
      </c>
      <c r="E105" s="37">
        <v>-0.55</v>
      </c>
      <c r="F105" s="37">
        <v>1.2</v>
      </c>
      <c r="G105" s="37">
        <v>0.8</v>
      </c>
      <c r="H105" s="37">
        <v>0.89</v>
      </c>
      <c r="I105" s="37">
        <v>0.68</v>
      </c>
      <c r="J105" s="37">
        <v>-0.5</v>
      </c>
      <c r="K105" s="34"/>
      <c r="L105" s="34"/>
      <c r="M105" s="42">
        <v>1.0</v>
      </c>
      <c r="N105" s="42">
        <v>2.0</v>
      </c>
      <c r="O105" s="42">
        <v>3.0</v>
      </c>
      <c r="P105" s="42">
        <v>4.0</v>
      </c>
      <c r="Q105" s="34"/>
      <c r="R105" s="35" t="s">
        <v>42</v>
      </c>
      <c r="S105" s="35" t="s">
        <v>48</v>
      </c>
      <c r="T105" s="34"/>
      <c r="U105" s="34"/>
      <c r="V105" s="34"/>
      <c r="W105" s="34"/>
      <c r="X105" s="34"/>
    </row>
    <row r="106">
      <c r="A106" s="36">
        <v>0.79</v>
      </c>
      <c r="B106" s="37">
        <v>-1.12</v>
      </c>
      <c r="C106" s="37">
        <v>-0.69</v>
      </c>
      <c r="D106" s="37">
        <v>-0.66</v>
      </c>
      <c r="E106" s="37">
        <v>-0.26</v>
      </c>
      <c r="F106" s="37">
        <v>-0.02</v>
      </c>
      <c r="G106" s="37">
        <v>0.17</v>
      </c>
      <c r="H106" s="37">
        <v>-1.49</v>
      </c>
      <c r="I106" s="37">
        <v>-1.45</v>
      </c>
      <c r="J106" s="37">
        <v>1.26</v>
      </c>
      <c r="K106" s="34"/>
      <c r="L106" s="35" t="s">
        <v>19</v>
      </c>
      <c r="M106" s="38">
        <v>-0.89483</v>
      </c>
      <c r="N106" s="39">
        <v>-0.19249</v>
      </c>
      <c r="O106" s="39">
        <v>-0.1867</v>
      </c>
      <c r="P106" s="40">
        <v>-0.04233</v>
      </c>
      <c r="Q106" s="34"/>
      <c r="R106" s="47">
        <v>0.874418</v>
      </c>
      <c r="S106" s="40">
        <v>0.125582</v>
      </c>
      <c r="T106" s="34"/>
      <c r="U106" s="34"/>
      <c r="V106" s="34"/>
      <c r="W106" s="34"/>
      <c r="X106" s="34"/>
    </row>
    <row r="107">
      <c r="A107" s="36">
        <v>-0.85</v>
      </c>
      <c r="B107" s="37">
        <v>1.85</v>
      </c>
      <c r="C107" s="37">
        <v>1.14</v>
      </c>
      <c r="D107" s="37">
        <v>-0.56</v>
      </c>
      <c r="E107" s="37">
        <v>-0.68</v>
      </c>
      <c r="F107" s="37">
        <v>-0.83</v>
      </c>
      <c r="G107" s="37">
        <v>-1.55</v>
      </c>
      <c r="H107" s="37">
        <v>-0.2</v>
      </c>
      <c r="I107" s="37">
        <v>1.14</v>
      </c>
      <c r="J107" s="37">
        <v>0.72</v>
      </c>
      <c r="K107" s="34"/>
      <c r="L107" s="35" t="s">
        <v>20</v>
      </c>
      <c r="M107" s="41">
        <v>0.887837</v>
      </c>
      <c r="N107" s="42">
        <v>0.088675</v>
      </c>
      <c r="O107" s="42">
        <v>-0.2637</v>
      </c>
      <c r="P107" s="43">
        <v>-0.08863</v>
      </c>
      <c r="Q107" s="34"/>
      <c r="R107" s="48">
        <v>0.87351</v>
      </c>
      <c r="S107" s="43">
        <v>0.12649</v>
      </c>
      <c r="T107" s="34"/>
      <c r="U107" s="34"/>
      <c r="V107" s="34"/>
      <c r="W107" s="34"/>
      <c r="X107" s="34"/>
    </row>
    <row r="108">
      <c r="A108" s="36">
        <v>-0.06</v>
      </c>
      <c r="B108" s="37">
        <v>-0.01</v>
      </c>
      <c r="C108" s="37">
        <v>-0.4</v>
      </c>
      <c r="D108" s="37">
        <v>1.81</v>
      </c>
      <c r="E108" s="37">
        <v>2.22</v>
      </c>
      <c r="F108" s="37">
        <v>-0.62</v>
      </c>
      <c r="G108" s="37">
        <v>-0.23</v>
      </c>
      <c r="H108" s="37">
        <v>0.02</v>
      </c>
      <c r="I108" s="37">
        <v>-0.17</v>
      </c>
      <c r="J108" s="37">
        <v>0.43</v>
      </c>
      <c r="K108" s="34"/>
      <c r="L108" s="35" t="s">
        <v>21</v>
      </c>
      <c r="M108" s="41">
        <v>0.834322</v>
      </c>
      <c r="N108" s="42">
        <v>-0.07513</v>
      </c>
      <c r="O108" s="42">
        <v>-0.45834</v>
      </c>
      <c r="P108" s="43">
        <v>-0.07237</v>
      </c>
      <c r="Q108" s="34"/>
      <c r="R108" s="48">
        <v>0.917054</v>
      </c>
      <c r="S108" s="43">
        <v>0.082946</v>
      </c>
      <c r="T108" s="34"/>
      <c r="U108" s="34"/>
      <c r="V108" s="34"/>
      <c r="W108" s="34"/>
      <c r="X108" s="34"/>
    </row>
    <row r="109">
      <c r="A109" s="36">
        <v>1.34</v>
      </c>
      <c r="B109" s="37">
        <v>-1.21</v>
      </c>
      <c r="C109" s="37">
        <v>-0.76</v>
      </c>
      <c r="D109" s="37">
        <v>-0.85</v>
      </c>
      <c r="E109" s="37">
        <v>-0.6</v>
      </c>
      <c r="F109" s="37">
        <v>-0.17</v>
      </c>
      <c r="G109" s="37">
        <v>0.69</v>
      </c>
      <c r="H109" s="37">
        <v>-1.36</v>
      </c>
      <c r="I109" s="37">
        <v>-1.49</v>
      </c>
      <c r="J109" s="37">
        <v>1.66</v>
      </c>
      <c r="K109" s="34"/>
      <c r="L109" s="35" t="s">
        <v>22</v>
      </c>
      <c r="M109" s="41">
        <v>0.203198</v>
      </c>
      <c r="N109" s="42">
        <v>-0.66242</v>
      </c>
      <c r="O109" s="42">
        <v>0.693735</v>
      </c>
      <c r="P109" s="43">
        <v>-0.06341</v>
      </c>
      <c r="Q109" s="34"/>
      <c r="R109" s="48">
        <v>0.965374</v>
      </c>
      <c r="S109" s="43">
        <v>0.034626</v>
      </c>
      <c r="T109" s="34"/>
      <c r="U109" s="34"/>
      <c r="V109" s="34"/>
      <c r="W109" s="34"/>
      <c r="X109" s="34"/>
    </row>
    <row r="110">
      <c r="A110" s="36">
        <v>-0.75</v>
      </c>
      <c r="B110" s="37">
        <v>1.63</v>
      </c>
      <c r="C110" s="37">
        <v>1.56</v>
      </c>
      <c r="D110" s="37">
        <v>-0.56</v>
      </c>
      <c r="E110" s="37">
        <v>-0.54</v>
      </c>
      <c r="F110" s="37">
        <v>-0.98</v>
      </c>
      <c r="G110" s="37">
        <v>-1.36</v>
      </c>
      <c r="H110" s="37">
        <v>0.88</v>
      </c>
      <c r="I110" s="37">
        <v>1.02</v>
      </c>
      <c r="J110" s="37">
        <v>-0.21</v>
      </c>
      <c r="K110" s="34"/>
      <c r="L110" s="35" t="s">
        <v>23</v>
      </c>
      <c r="M110" s="41">
        <v>0.163326</v>
      </c>
      <c r="N110" s="42">
        <v>-0.69439</v>
      </c>
      <c r="O110" s="42">
        <v>0.674376</v>
      </c>
      <c r="P110" s="43">
        <v>-0.05149</v>
      </c>
      <c r="Q110" s="34"/>
      <c r="R110" s="48">
        <v>0.966286</v>
      </c>
      <c r="S110" s="43">
        <v>0.033714</v>
      </c>
      <c r="T110" s="34"/>
      <c r="U110" s="34"/>
      <c r="V110" s="34"/>
      <c r="W110" s="34"/>
      <c r="X110" s="34"/>
    </row>
    <row r="111">
      <c r="A111" s="36">
        <v>-0.96</v>
      </c>
      <c r="B111" s="37">
        <v>1.59</v>
      </c>
      <c r="C111" s="37">
        <v>1.59</v>
      </c>
      <c r="D111" s="37">
        <v>-0.68</v>
      </c>
      <c r="E111" s="37">
        <v>-0.52</v>
      </c>
      <c r="F111" s="37">
        <v>-0.95</v>
      </c>
      <c r="G111" s="37">
        <v>-1.59</v>
      </c>
      <c r="H111" s="37">
        <v>1.31</v>
      </c>
      <c r="I111" s="37">
        <v>1.54</v>
      </c>
      <c r="J111" s="37">
        <v>0.12</v>
      </c>
      <c r="K111" s="34"/>
      <c r="L111" s="35" t="s">
        <v>24</v>
      </c>
      <c r="M111" s="41">
        <v>-0.279</v>
      </c>
      <c r="N111" s="42">
        <v>0.807669</v>
      </c>
      <c r="O111" s="42">
        <v>0.436666</v>
      </c>
      <c r="P111" s="43">
        <v>-0.00839</v>
      </c>
      <c r="Q111" s="34"/>
      <c r="R111" s="48">
        <v>0.920916</v>
      </c>
      <c r="S111" s="43">
        <v>0.079084</v>
      </c>
      <c r="T111" s="34"/>
      <c r="U111" s="34"/>
      <c r="V111" s="34"/>
      <c r="W111" s="34"/>
      <c r="X111" s="34"/>
    </row>
    <row r="112">
      <c r="A112" s="36">
        <v>-0.15</v>
      </c>
      <c r="B112" s="37">
        <v>0.27</v>
      </c>
      <c r="C112" s="37">
        <v>-0.39</v>
      </c>
      <c r="D112" s="37">
        <v>1.72</v>
      </c>
      <c r="E112" s="37">
        <v>1.65</v>
      </c>
      <c r="F112" s="37">
        <v>-0.62</v>
      </c>
      <c r="G112" s="37">
        <v>-0.49</v>
      </c>
      <c r="H112" s="37">
        <v>-0.04</v>
      </c>
      <c r="I112" s="37">
        <v>0.18</v>
      </c>
      <c r="J112" s="37">
        <v>-0.16</v>
      </c>
      <c r="K112" s="34"/>
      <c r="L112" s="35" t="s">
        <v>25</v>
      </c>
      <c r="M112" s="41">
        <v>-0.42964</v>
      </c>
      <c r="N112" s="42">
        <v>0.66727</v>
      </c>
      <c r="O112" s="42">
        <v>0.488114</v>
      </c>
      <c r="P112" s="43">
        <v>-0.24634</v>
      </c>
      <c r="Q112" s="34"/>
      <c r="R112" s="48">
        <v>0.928778</v>
      </c>
      <c r="S112" s="43">
        <v>0.071222</v>
      </c>
      <c r="T112" s="34"/>
      <c r="U112" s="34"/>
      <c r="V112" s="34"/>
      <c r="W112" s="34"/>
      <c r="X112" s="34"/>
    </row>
    <row r="113">
      <c r="A113" s="36">
        <v>-0.89</v>
      </c>
      <c r="B113" s="37">
        <v>1.98</v>
      </c>
      <c r="C113" s="37">
        <v>2.05</v>
      </c>
      <c r="D113" s="37">
        <v>-0.59</v>
      </c>
      <c r="E113" s="37">
        <v>-0.82</v>
      </c>
      <c r="F113" s="37">
        <v>-0.75</v>
      </c>
      <c r="G113" s="37">
        <v>-1.65</v>
      </c>
      <c r="H113" s="37">
        <v>0.86</v>
      </c>
      <c r="I113" s="37">
        <v>0.58</v>
      </c>
      <c r="J113" s="37">
        <v>-1.32</v>
      </c>
      <c r="K113" s="34"/>
      <c r="L113" s="35" t="s">
        <v>26</v>
      </c>
      <c r="M113" s="41">
        <v>0.894399</v>
      </c>
      <c r="N113" s="42">
        <v>0.191795</v>
      </c>
      <c r="O113" s="42">
        <v>0.104313</v>
      </c>
      <c r="P113" s="43">
        <v>-0.18161</v>
      </c>
      <c r="Q113" s="34"/>
      <c r="R113" s="48">
        <v>0.880598</v>
      </c>
      <c r="S113" s="43">
        <v>0.119402</v>
      </c>
      <c r="T113" s="34"/>
      <c r="U113" s="34"/>
      <c r="V113" s="34"/>
      <c r="W113" s="34"/>
      <c r="X113" s="34"/>
    </row>
    <row r="114">
      <c r="A114" s="36">
        <v>1.76</v>
      </c>
      <c r="B114" s="37">
        <v>-0.9</v>
      </c>
      <c r="C114" s="37">
        <v>-0.87</v>
      </c>
      <c r="D114" s="37">
        <v>-1.05</v>
      </c>
      <c r="E114" s="37">
        <v>-0.68</v>
      </c>
      <c r="F114" s="37">
        <v>-0.02</v>
      </c>
      <c r="G114" s="37">
        <v>-0.81</v>
      </c>
      <c r="H114" s="37">
        <v>-1.4</v>
      </c>
      <c r="I114" s="37">
        <v>-1.49</v>
      </c>
      <c r="J114" s="37">
        <v>1.56</v>
      </c>
      <c r="K114" s="34"/>
      <c r="L114" s="35" t="s">
        <v>27</v>
      </c>
      <c r="M114" s="41">
        <v>0.916066</v>
      </c>
      <c r="N114" s="42">
        <v>0.160508</v>
      </c>
      <c r="O114" s="42">
        <v>0.136171</v>
      </c>
      <c r="P114" s="43">
        <v>-0.10118</v>
      </c>
      <c r="Q114" s="34"/>
      <c r="R114" s="48">
        <v>0.89372</v>
      </c>
      <c r="S114" s="43">
        <v>0.10628</v>
      </c>
      <c r="T114" s="34"/>
      <c r="U114" s="34"/>
      <c r="V114" s="34"/>
      <c r="W114" s="34"/>
      <c r="X114" s="34"/>
    </row>
    <row r="115">
      <c r="A115" s="36">
        <v>1.51</v>
      </c>
      <c r="B115" s="37">
        <v>-1.26</v>
      </c>
      <c r="C115" s="37">
        <v>-0.69</v>
      </c>
      <c r="D115" s="37">
        <v>-0.71</v>
      </c>
      <c r="E115" s="37">
        <v>-0.61</v>
      </c>
      <c r="F115" s="37">
        <v>-0.52</v>
      </c>
      <c r="G115" s="37">
        <v>-0.21</v>
      </c>
      <c r="H115" s="37">
        <v>-1.58</v>
      </c>
      <c r="I115" s="37">
        <v>-1.53</v>
      </c>
      <c r="J115" s="37">
        <v>2.03</v>
      </c>
      <c r="K115" s="34"/>
      <c r="L115" s="35" t="s">
        <v>28</v>
      </c>
      <c r="M115" s="44">
        <v>-0.70117</v>
      </c>
      <c r="N115" s="45">
        <v>-0.36106</v>
      </c>
      <c r="O115" s="45">
        <v>-0.44476</v>
      </c>
      <c r="P115" s="46">
        <v>-0.38426</v>
      </c>
      <c r="Q115" s="34"/>
      <c r="R115" s="49">
        <v>0.967472</v>
      </c>
      <c r="S115" s="46">
        <v>0.032528</v>
      </c>
      <c r="T115" s="34"/>
      <c r="U115" s="34"/>
      <c r="V115" s="34"/>
      <c r="W115" s="34"/>
      <c r="X115" s="34"/>
    </row>
    <row r="116">
      <c r="A116" s="36">
        <v>-0.77</v>
      </c>
      <c r="B116" s="37">
        <v>-0.75</v>
      </c>
      <c r="C116" s="37">
        <v>-0.24</v>
      </c>
      <c r="D116" s="37">
        <v>-0.54</v>
      </c>
      <c r="E116" s="37">
        <v>-0.65</v>
      </c>
      <c r="F116" s="37">
        <v>1.94</v>
      </c>
      <c r="G116" s="37">
        <v>0.87</v>
      </c>
      <c r="H116" s="37">
        <v>1.21</v>
      </c>
      <c r="I116" s="37">
        <v>0.53</v>
      </c>
      <c r="J116" s="37">
        <v>-0.96</v>
      </c>
      <c r="K116" s="34"/>
      <c r="L116" s="34"/>
      <c r="M116" s="42">
        <v>4.74623</v>
      </c>
      <c r="N116" s="42">
        <v>2.262021</v>
      </c>
      <c r="O116" s="42">
        <v>1.906686</v>
      </c>
      <c r="P116" s="42">
        <v>0.273189</v>
      </c>
      <c r="Q116" s="34"/>
      <c r="R116" s="42">
        <v>9.188125</v>
      </c>
      <c r="S116" s="42">
        <v>0.811875</v>
      </c>
      <c r="T116" s="34"/>
      <c r="U116" s="34"/>
      <c r="V116" s="34"/>
      <c r="W116" s="34"/>
      <c r="X116" s="34"/>
    </row>
    <row r="117">
      <c r="A117" s="36">
        <v>2.73</v>
      </c>
      <c r="B117" s="37">
        <v>-1.18</v>
      </c>
      <c r="C117" s="37">
        <v>-0.74</v>
      </c>
      <c r="D117" s="37">
        <v>-0.63</v>
      </c>
      <c r="E117" s="37">
        <v>-0.41</v>
      </c>
      <c r="F117" s="37">
        <v>0.43</v>
      </c>
      <c r="G117" s="37">
        <v>0.07</v>
      </c>
      <c r="H117" s="37">
        <v>-1.56</v>
      </c>
      <c r="I117" s="37">
        <v>-1.36</v>
      </c>
      <c r="J117" s="37">
        <v>1.04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>
      <c r="A118" s="36">
        <v>2.65</v>
      </c>
      <c r="B118" s="37">
        <v>-1.03</v>
      </c>
      <c r="C118" s="37">
        <v>-0.85</v>
      </c>
      <c r="D118" s="37">
        <v>-0.65</v>
      </c>
      <c r="E118" s="37">
        <v>-0.8</v>
      </c>
      <c r="F118" s="37">
        <v>-0.53</v>
      </c>
      <c r="G118" s="37">
        <v>0.76</v>
      </c>
      <c r="H118" s="37">
        <v>-1.54</v>
      </c>
      <c r="I118" s="37">
        <v>-1.78</v>
      </c>
      <c r="J118" s="37">
        <v>1.54</v>
      </c>
      <c r="K118" s="34"/>
      <c r="L118" s="35" t="s">
        <v>49</v>
      </c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>
      <c r="A119" s="36">
        <v>-0.78</v>
      </c>
      <c r="B119" s="37">
        <v>1.72</v>
      </c>
      <c r="C119" s="37">
        <v>2.07</v>
      </c>
      <c r="D119" s="37">
        <v>-0.46</v>
      </c>
      <c r="E119" s="37">
        <v>-0.61</v>
      </c>
      <c r="F119" s="37">
        <v>-0.64</v>
      </c>
      <c r="G119" s="37">
        <v>-1.25</v>
      </c>
      <c r="H119" s="37">
        <v>0.84</v>
      </c>
      <c r="I119" s="37">
        <v>1.47</v>
      </c>
      <c r="J119" s="37">
        <v>-0.2</v>
      </c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>
      <c r="A120" s="36">
        <v>1.71</v>
      </c>
      <c r="B120" s="37">
        <v>-0.6</v>
      </c>
      <c r="C120" s="37">
        <v>-0.88</v>
      </c>
      <c r="D120" s="37">
        <v>-0.52</v>
      </c>
      <c r="E120" s="37">
        <v>-0.59</v>
      </c>
      <c r="F120" s="37">
        <v>-0.06</v>
      </c>
      <c r="G120" s="37">
        <v>0.95</v>
      </c>
      <c r="H120" s="37">
        <v>-1.35</v>
      </c>
      <c r="I120" s="37">
        <v>-1.33</v>
      </c>
      <c r="J120" s="37">
        <v>1.77</v>
      </c>
      <c r="K120" s="34"/>
      <c r="L120" s="34"/>
      <c r="M120" s="42">
        <v>1.0</v>
      </c>
      <c r="N120" s="42">
        <v>2.0</v>
      </c>
      <c r="O120" s="42">
        <v>3.0</v>
      </c>
      <c r="P120" s="42">
        <v>4.0</v>
      </c>
      <c r="Q120" s="34"/>
      <c r="R120" s="35" t="s">
        <v>42</v>
      </c>
      <c r="S120" s="35" t="s">
        <v>48</v>
      </c>
      <c r="T120" s="34"/>
      <c r="U120" s="34"/>
      <c r="V120" s="34"/>
      <c r="W120" s="34"/>
      <c r="X120" s="34"/>
    </row>
    <row r="121">
      <c r="A121" s="36">
        <v>-0.46</v>
      </c>
      <c r="B121" s="37">
        <v>-0.43</v>
      </c>
      <c r="C121" s="37">
        <v>-0.66</v>
      </c>
      <c r="D121" s="37">
        <v>-0.86</v>
      </c>
      <c r="E121" s="37">
        <v>-0.15</v>
      </c>
      <c r="F121" s="37">
        <v>1.12</v>
      </c>
      <c r="G121" s="37">
        <v>1.1</v>
      </c>
      <c r="H121" s="37">
        <v>0.06</v>
      </c>
      <c r="I121" s="37">
        <v>0.4</v>
      </c>
      <c r="J121" s="37">
        <v>-0.42</v>
      </c>
      <c r="K121" s="34"/>
      <c r="L121" s="35" t="s">
        <v>19</v>
      </c>
      <c r="M121" s="38">
        <v>-0.89271</v>
      </c>
      <c r="N121" s="39">
        <v>0.019825</v>
      </c>
      <c r="O121" s="39">
        <v>-0.11464</v>
      </c>
      <c r="P121" s="40">
        <v>-0.25287</v>
      </c>
      <c r="Q121" s="34"/>
      <c r="R121" s="47">
        <v>0.874418</v>
      </c>
      <c r="S121" s="40">
        <v>0.125582</v>
      </c>
      <c r="T121" s="34"/>
      <c r="U121" s="34"/>
      <c r="V121" s="34"/>
      <c r="W121" s="34"/>
      <c r="X121" s="34"/>
    </row>
    <row r="122">
      <c r="A122" s="36">
        <v>1.96</v>
      </c>
      <c r="B122" s="37">
        <v>-1.18</v>
      </c>
      <c r="C122" s="37">
        <v>-0.83</v>
      </c>
      <c r="D122" s="37">
        <v>-0.63</v>
      </c>
      <c r="E122" s="37">
        <v>-0.64</v>
      </c>
      <c r="F122" s="37">
        <v>0.44</v>
      </c>
      <c r="G122" s="37">
        <v>0.34</v>
      </c>
      <c r="H122" s="37">
        <v>-1.31</v>
      </c>
      <c r="I122" s="37">
        <v>-1.3</v>
      </c>
      <c r="J122" s="37">
        <v>1.81</v>
      </c>
      <c r="K122" s="34"/>
      <c r="L122" s="35" t="s">
        <v>20</v>
      </c>
      <c r="M122" s="41">
        <v>0.861232</v>
      </c>
      <c r="N122" s="42">
        <v>-0.33227</v>
      </c>
      <c r="O122" s="42">
        <v>-0.14624</v>
      </c>
      <c r="P122" s="43">
        <v>-4.4E-4</v>
      </c>
      <c r="Q122" s="34"/>
      <c r="R122" s="48">
        <v>0.87351</v>
      </c>
      <c r="S122" s="43">
        <v>0.12649</v>
      </c>
      <c r="T122" s="34"/>
      <c r="U122" s="34"/>
      <c r="V122" s="34"/>
      <c r="W122" s="34"/>
      <c r="X122" s="34"/>
    </row>
    <row r="123">
      <c r="A123" s="36">
        <v>1.55</v>
      </c>
      <c r="B123" s="37">
        <v>-1.33</v>
      </c>
      <c r="C123" s="37">
        <v>-0.77</v>
      </c>
      <c r="D123" s="37">
        <v>-0.8</v>
      </c>
      <c r="E123" s="37">
        <v>-0.68</v>
      </c>
      <c r="F123" s="37">
        <v>0.06</v>
      </c>
      <c r="G123" s="37">
        <v>0.78</v>
      </c>
      <c r="H123" s="37">
        <v>-1.43</v>
      </c>
      <c r="I123" s="37">
        <v>-1.4</v>
      </c>
      <c r="J123" s="37">
        <v>2.03</v>
      </c>
      <c r="K123" s="34"/>
      <c r="L123" s="35" t="s">
        <v>21</v>
      </c>
      <c r="M123" s="41">
        <v>0.753052</v>
      </c>
      <c r="N123" s="42">
        <v>-0.55366</v>
      </c>
      <c r="O123" s="42">
        <v>-0.19703</v>
      </c>
      <c r="P123" s="43">
        <v>-0.06791</v>
      </c>
      <c r="Q123" s="34"/>
      <c r="R123" s="48">
        <v>0.917054</v>
      </c>
      <c r="S123" s="43">
        <v>0.082946</v>
      </c>
      <c r="T123" s="34"/>
      <c r="U123" s="34"/>
      <c r="V123" s="34"/>
      <c r="W123" s="34"/>
      <c r="X123" s="34"/>
    </row>
    <row r="124">
      <c r="A124" s="36">
        <v>0.05</v>
      </c>
      <c r="B124" s="37">
        <v>0.73</v>
      </c>
      <c r="C124" s="37">
        <v>-0.31</v>
      </c>
      <c r="D124" s="37">
        <v>1.21</v>
      </c>
      <c r="E124" s="37">
        <v>2.16</v>
      </c>
      <c r="F124" s="37">
        <v>-0.44</v>
      </c>
      <c r="G124" s="37">
        <v>0.17</v>
      </c>
      <c r="H124" s="37">
        <v>0.18</v>
      </c>
      <c r="I124" s="37">
        <v>0.05</v>
      </c>
      <c r="J124" s="37">
        <v>-0.89</v>
      </c>
      <c r="K124" s="34"/>
      <c r="L124" s="35" t="s">
        <v>22</v>
      </c>
      <c r="M124" s="41">
        <v>0.065001</v>
      </c>
      <c r="N124" s="42">
        <v>-0.09331</v>
      </c>
      <c r="O124" s="42">
        <v>0.975212</v>
      </c>
      <c r="P124" s="43">
        <v>0.037481</v>
      </c>
      <c r="Q124" s="34"/>
      <c r="R124" s="48">
        <v>0.965374</v>
      </c>
      <c r="S124" s="43">
        <v>0.034626</v>
      </c>
      <c r="T124" s="34"/>
      <c r="U124" s="34"/>
      <c r="V124" s="34"/>
      <c r="W124" s="34"/>
      <c r="X124" s="34"/>
    </row>
    <row r="125">
      <c r="A125" s="36">
        <v>-0.98</v>
      </c>
      <c r="B125" s="37">
        <v>0.84</v>
      </c>
      <c r="C125" s="37">
        <v>1.25</v>
      </c>
      <c r="D125" s="37">
        <v>-0.22</v>
      </c>
      <c r="E125" s="37">
        <v>-0.03</v>
      </c>
      <c r="F125" s="37">
        <v>-0.85</v>
      </c>
      <c r="G125" s="37">
        <v>-1.59</v>
      </c>
      <c r="H125" s="37">
        <v>1.22</v>
      </c>
      <c r="I125" s="37">
        <v>1.42</v>
      </c>
      <c r="J125" s="37">
        <v>-0.75</v>
      </c>
      <c r="K125" s="34"/>
      <c r="L125" s="35" t="s">
        <v>23</v>
      </c>
      <c r="M125" s="41">
        <v>0.015446</v>
      </c>
      <c r="N125" s="42">
        <v>-0.11881</v>
      </c>
      <c r="O125" s="42">
        <v>0.97512</v>
      </c>
      <c r="P125" s="43">
        <v>0.032738</v>
      </c>
      <c r="Q125" s="34"/>
      <c r="R125" s="48">
        <v>0.966286</v>
      </c>
      <c r="S125" s="43">
        <v>0.033714</v>
      </c>
      <c r="T125" s="34"/>
      <c r="U125" s="34"/>
      <c r="V125" s="34"/>
      <c r="W125" s="34"/>
      <c r="X125" s="34"/>
    </row>
    <row r="126">
      <c r="A126" s="36">
        <v>-0.97</v>
      </c>
      <c r="B126" s="37">
        <v>1.33</v>
      </c>
      <c r="C126" s="37">
        <v>1.14</v>
      </c>
      <c r="D126" s="37">
        <v>-0.21</v>
      </c>
      <c r="E126" s="37">
        <v>-0.36</v>
      </c>
      <c r="F126" s="37">
        <v>-0.84</v>
      </c>
      <c r="G126" s="37">
        <v>-1.47</v>
      </c>
      <c r="H126" s="37">
        <v>0.74</v>
      </c>
      <c r="I126" s="37">
        <v>1.25</v>
      </c>
      <c r="J126" s="37">
        <v>-0.64</v>
      </c>
      <c r="K126" s="34"/>
      <c r="L126" s="35" t="s">
        <v>24</v>
      </c>
      <c r="M126" s="41">
        <v>-0.02001</v>
      </c>
      <c r="N126" s="42">
        <v>0.916236</v>
      </c>
      <c r="O126" s="42">
        <v>-0.2138</v>
      </c>
      <c r="P126" s="43">
        <v>0.187933</v>
      </c>
      <c r="Q126" s="34"/>
      <c r="R126" s="48">
        <v>0.920916</v>
      </c>
      <c r="S126" s="43">
        <v>0.079084</v>
      </c>
      <c r="T126" s="34"/>
      <c r="U126" s="34"/>
      <c r="V126" s="34"/>
      <c r="W126" s="34"/>
      <c r="X126" s="34"/>
    </row>
    <row r="127">
      <c r="A127" s="36">
        <v>0.72</v>
      </c>
      <c r="B127" s="37">
        <v>-0.52</v>
      </c>
      <c r="C127" s="37">
        <v>-0.37</v>
      </c>
      <c r="D127" s="37">
        <v>2.18</v>
      </c>
      <c r="E127" s="37">
        <v>1.35</v>
      </c>
      <c r="F127" s="37">
        <v>-1.01</v>
      </c>
      <c r="G127" s="37">
        <v>-0.93</v>
      </c>
      <c r="H127" s="37">
        <v>0.44</v>
      </c>
      <c r="I127" s="37">
        <v>-0.12</v>
      </c>
      <c r="J127" s="37">
        <v>1.35</v>
      </c>
      <c r="K127" s="34"/>
      <c r="L127" s="35" t="s">
        <v>25</v>
      </c>
      <c r="M127" s="41">
        <v>-0.14597</v>
      </c>
      <c r="N127" s="42">
        <v>0.947023</v>
      </c>
      <c r="O127" s="42">
        <v>-0.07653</v>
      </c>
      <c r="P127" s="43">
        <v>-0.069</v>
      </c>
      <c r="Q127" s="34"/>
      <c r="R127" s="48">
        <v>0.928778</v>
      </c>
      <c r="S127" s="43">
        <v>0.071222</v>
      </c>
      <c r="T127" s="34"/>
      <c r="U127" s="34"/>
      <c r="V127" s="34"/>
      <c r="W127" s="34"/>
      <c r="X127" s="34"/>
    </row>
    <row r="128">
      <c r="A128" s="36">
        <v>1.1</v>
      </c>
      <c r="B128" s="37">
        <v>-1.02</v>
      </c>
      <c r="C128" s="37">
        <v>-0.66</v>
      </c>
      <c r="D128" s="37">
        <v>-0.32</v>
      </c>
      <c r="E128" s="37">
        <v>-0.3</v>
      </c>
      <c r="F128" s="37">
        <v>0.29</v>
      </c>
      <c r="G128" s="37">
        <v>0.66</v>
      </c>
      <c r="H128" s="37">
        <v>-1.34</v>
      </c>
      <c r="I128" s="37">
        <v>-1.26</v>
      </c>
      <c r="J128" s="37">
        <v>1.09</v>
      </c>
      <c r="K128" s="34"/>
      <c r="L128" s="35" t="s">
        <v>26</v>
      </c>
      <c r="M128" s="41">
        <v>0.93481</v>
      </c>
      <c r="N128" s="42">
        <v>-0.01776</v>
      </c>
      <c r="O128" s="42">
        <v>0.077283</v>
      </c>
      <c r="P128" s="43">
        <v>0.020996</v>
      </c>
      <c r="Q128" s="34"/>
      <c r="R128" s="48">
        <v>0.880598</v>
      </c>
      <c r="S128" s="43">
        <v>0.119402</v>
      </c>
      <c r="T128" s="34"/>
      <c r="U128" s="34"/>
      <c r="V128" s="34"/>
      <c r="W128" s="34"/>
      <c r="X128" s="34"/>
    </row>
    <row r="129">
      <c r="A129" s="36">
        <v>0.95</v>
      </c>
      <c r="B129" s="37">
        <v>-1.06</v>
      </c>
      <c r="C129" s="37">
        <v>-0.83</v>
      </c>
      <c r="D129" s="37">
        <v>-0.77</v>
      </c>
      <c r="E129" s="37">
        <v>-0.5</v>
      </c>
      <c r="F129" s="37">
        <v>0.2</v>
      </c>
      <c r="G129" s="37">
        <v>0.11</v>
      </c>
      <c r="H129" s="37">
        <v>-1.19</v>
      </c>
      <c r="I129" s="37">
        <v>-1.81</v>
      </c>
      <c r="J129" s="37">
        <v>1.24</v>
      </c>
      <c r="K129" s="34"/>
      <c r="L129" s="35" t="s">
        <v>27</v>
      </c>
      <c r="M129" s="41">
        <v>0.93157</v>
      </c>
      <c r="N129" s="42">
        <v>-0.04562</v>
      </c>
      <c r="O129" s="42">
        <v>0.114878</v>
      </c>
      <c r="P129" s="43">
        <v>0.103044</v>
      </c>
      <c r="Q129" s="34"/>
      <c r="R129" s="48">
        <v>0.89372</v>
      </c>
      <c r="S129" s="43">
        <v>0.10628</v>
      </c>
      <c r="T129" s="34"/>
      <c r="U129" s="34"/>
      <c r="V129" s="34"/>
      <c r="W129" s="34"/>
      <c r="X129" s="34"/>
    </row>
    <row r="130">
      <c r="A130" s="36">
        <v>-1.06</v>
      </c>
      <c r="B130" s="37">
        <v>0.28</v>
      </c>
      <c r="C130" s="37">
        <v>1.51</v>
      </c>
      <c r="D130" s="37">
        <v>-0.34</v>
      </c>
      <c r="E130" s="37">
        <v>-0.06</v>
      </c>
      <c r="F130" s="37">
        <v>-0.8</v>
      </c>
      <c r="G130" s="37">
        <v>-1.52</v>
      </c>
      <c r="H130" s="37">
        <v>2.0</v>
      </c>
      <c r="I130" s="37">
        <v>1.43</v>
      </c>
      <c r="J130" s="37">
        <v>-0.18</v>
      </c>
      <c r="K130" s="34"/>
      <c r="L130" s="35" t="s">
        <v>28</v>
      </c>
      <c r="M130" s="44">
        <v>-0.69815</v>
      </c>
      <c r="N130" s="45">
        <v>-0.2312</v>
      </c>
      <c r="O130" s="45">
        <v>-0.14334</v>
      </c>
      <c r="P130" s="46">
        <v>-0.63723</v>
      </c>
      <c r="Q130" s="34"/>
      <c r="R130" s="49">
        <v>0.967472</v>
      </c>
      <c r="S130" s="46">
        <v>0.032528</v>
      </c>
      <c r="T130" s="34"/>
      <c r="U130" s="34"/>
      <c r="V130" s="34"/>
      <c r="W130" s="34"/>
      <c r="X130" s="34"/>
    </row>
    <row r="131">
      <c r="A131" s="36">
        <v>-0.42</v>
      </c>
      <c r="B131" s="37">
        <v>-0.48</v>
      </c>
      <c r="C131" s="37">
        <v>-0.54</v>
      </c>
      <c r="D131" s="37">
        <v>-0.31</v>
      </c>
      <c r="E131" s="37">
        <v>-0.18</v>
      </c>
      <c r="F131" s="37">
        <v>2.13</v>
      </c>
      <c r="G131" s="37">
        <v>0.94</v>
      </c>
      <c r="H131" s="37">
        <v>-0.4</v>
      </c>
      <c r="I131" s="37">
        <v>0.34</v>
      </c>
      <c r="J131" s="37">
        <v>-1.47</v>
      </c>
      <c r="K131" s="34"/>
      <c r="L131" s="34"/>
      <c r="M131" s="42">
        <v>4.361023</v>
      </c>
      <c r="N131" s="42">
        <v>2.232346</v>
      </c>
      <c r="O131" s="42">
        <v>2.066528</v>
      </c>
      <c r="P131" s="42">
        <v>0.528229</v>
      </c>
      <c r="Q131" s="34"/>
      <c r="R131" s="42">
        <v>9.188125</v>
      </c>
      <c r="S131" s="42">
        <v>0.811875</v>
      </c>
      <c r="T131" s="34"/>
      <c r="U131" s="34"/>
      <c r="V131" s="34"/>
      <c r="W131" s="34"/>
      <c r="X131" s="34"/>
    </row>
    <row r="132">
      <c r="A132" s="36">
        <v>0.09</v>
      </c>
      <c r="B132" s="37">
        <v>-0.42</v>
      </c>
      <c r="C132" s="37">
        <v>-0.51</v>
      </c>
      <c r="D132" s="37">
        <v>1.27</v>
      </c>
      <c r="E132" s="37">
        <v>2.07</v>
      </c>
      <c r="F132" s="37">
        <v>-0.69</v>
      </c>
      <c r="G132" s="37">
        <v>-0.79</v>
      </c>
      <c r="H132" s="37">
        <v>-1.38</v>
      </c>
      <c r="I132" s="37">
        <v>0.1</v>
      </c>
      <c r="J132" s="37">
        <v>0.89</v>
      </c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>
      <c r="A133" s="36">
        <v>-0.71</v>
      </c>
      <c r="B133" s="37">
        <v>1.06</v>
      </c>
      <c r="C133" s="37">
        <v>1.24</v>
      </c>
      <c r="D133" s="37">
        <v>-0.24</v>
      </c>
      <c r="E133" s="37">
        <v>-0.53</v>
      </c>
      <c r="F133" s="37">
        <v>-0.87</v>
      </c>
      <c r="G133" s="37">
        <v>-0.82</v>
      </c>
      <c r="H133" s="37">
        <v>1.65</v>
      </c>
      <c r="I133" s="37">
        <v>0.96</v>
      </c>
      <c r="J133" s="37">
        <v>-0.56</v>
      </c>
      <c r="K133" s="34"/>
      <c r="L133" s="35" t="s">
        <v>50</v>
      </c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>
      <c r="A134" s="36">
        <v>-1.09</v>
      </c>
      <c r="B134" s="37">
        <v>0.86</v>
      </c>
      <c r="C134" s="37">
        <v>1.43</v>
      </c>
      <c r="D134" s="37">
        <v>-0.26</v>
      </c>
      <c r="E134" s="37">
        <v>-0.17</v>
      </c>
      <c r="F134" s="37">
        <v>-1.08</v>
      </c>
      <c r="G134" s="37">
        <v>-0.54</v>
      </c>
      <c r="H134" s="37">
        <v>0.83</v>
      </c>
      <c r="I134" s="37">
        <v>0.99</v>
      </c>
      <c r="J134" s="37">
        <v>-0.82</v>
      </c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>
      <c r="A135" s="36">
        <v>-1.14</v>
      </c>
      <c r="B135" s="37">
        <v>0.01</v>
      </c>
      <c r="C135" s="37">
        <v>-0.27</v>
      </c>
      <c r="D135" s="37">
        <v>1.74</v>
      </c>
      <c r="E135" s="37">
        <v>1.9</v>
      </c>
      <c r="F135" s="37">
        <v>-0.41</v>
      </c>
      <c r="G135" s="37">
        <v>-0.95</v>
      </c>
      <c r="H135" s="37">
        <v>-0.35</v>
      </c>
      <c r="I135" s="37">
        <v>0.45</v>
      </c>
      <c r="J135" s="37">
        <v>-0.91</v>
      </c>
      <c r="K135" s="34"/>
      <c r="L135" s="34"/>
      <c r="M135" s="35" t="s">
        <v>19</v>
      </c>
      <c r="N135" s="35" t="s">
        <v>20</v>
      </c>
      <c r="O135" s="35" t="s">
        <v>21</v>
      </c>
      <c r="P135" s="35" t="s">
        <v>22</v>
      </c>
      <c r="Q135" s="35" t="s">
        <v>23</v>
      </c>
      <c r="R135" s="35" t="s">
        <v>24</v>
      </c>
      <c r="S135" s="35" t="s">
        <v>25</v>
      </c>
      <c r="T135" s="35" t="s">
        <v>26</v>
      </c>
      <c r="U135" s="35" t="s">
        <v>27</v>
      </c>
      <c r="V135" s="35" t="s">
        <v>28</v>
      </c>
      <c r="W135" s="34"/>
      <c r="X135" s="34"/>
    </row>
    <row r="136">
      <c r="A136" s="36">
        <v>1.62</v>
      </c>
      <c r="B136" s="37">
        <v>-1.34</v>
      </c>
      <c r="C136" s="37">
        <v>-0.77</v>
      </c>
      <c r="D136" s="37">
        <v>-0.69</v>
      </c>
      <c r="E136" s="37">
        <v>-0.84</v>
      </c>
      <c r="F136" s="37">
        <v>0.28</v>
      </c>
      <c r="G136" s="37">
        <v>-0.38</v>
      </c>
      <c r="H136" s="37">
        <v>-1.57</v>
      </c>
      <c r="I136" s="37">
        <v>-1.43</v>
      </c>
      <c r="J136" s="37">
        <v>1.8</v>
      </c>
      <c r="K136" s="34"/>
      <c r="L136" s="35" t="s">
        <v>19</v>
      </c>
      <c r="M136" s="38">
        <v>0.874418</v>
      </c>
      <c r="N136" s="39">
        <v>-0.75855</v>
      </c>
      <c r="O136" s="39">
        <v>-0.64348</v>
      </c>
      <c r="P136" s="39">
        <v>-0.18116</v>
      </c>
      <c r="Q136" s="39">
        <v>-0.13621</v>
      </c>
      <c r="R136" s="39">
        <v>0.013016</v>
      </c>
      <c r="S136" s="39">
        <v>0.175304</v>
      </c>
      <c r="T136" s="39">
        <v>-0.84904</v>
      </c>
      <c r="U136" s="39">
        <v>-0.87176</v>
      </c>
      <c r="V136" s="40">
        <v>0.796233</v>
      </c>
      <c r="W136" s="34"/>
      <c r="X136" s="34"/>
    </row>
    <row r="137">
      <c r="A137" s="36">
        <v>-0.51</v>
      </c>
      <c r="B137" s="37">
        <v>-0.33</v>
      </c>
      <c r="C137" s="37">
        <v>-0.33</v>
      </c>
      <c r="D137" s="37">
        <v>2.1</v>
      </c>
      <c r="E137" s="37">
        <v>1.94</v>
      </c>
      <c r="F137" s="37">
        <v>-0.64</v>
      </c>
      <c r="G137" s="37">
        <v>-0.66</v>
      </c>
      <c r="H137" s="37">
        <v>-0.08</v>
      </c>
      <c r="I137" s="37">
        <v>-0.35</v>
      </c>
      <c r="J137" s="37">
        <v>-1.47</v>
      </c>
      <c r="K137" s="34"/>
      <c r="L137" s="35" t="s">
        <v>20</v>
      </c>
      <c r="M137" s="41">
        <v>-0.75855</v>
      </c>
      <c r="N137" s="42">
        <v>0.87351</v>
      </c>
      <c r="O137" s="42">
        <v>0.861358</v>
      </c>
      <c r="P137" s="42">
        <v>-0.05565</v>
      </c>
      <c r="Q137" s="42">
        <v>-0.08983</v>
      </c>
      <c r="R137" s="42">
        <v>-0.29049</v>
      </c>
      <c r="S137" s="42">
        <v>-0.42916</v>
      </c>
      <c r="T137" s="42">
        <v>0.799678</v>
      </c>
      <c r="U137" s="42">
        <v>0.800611</v>
      </c>
      <c r="V137" s="43">
        <v>-0.50321</v>
      </c>
      <c r="W137" s="34"/>
      <c r="X137" s="34"/>
    </row>
    <row r="138">
      <c r="A138" s="36">
        <v>-0.22</v>
      </c>
      <c r="B138" s="37">
        <v>0.3</v>
      </c>
      <c r="C138" s="37">
        <v>-0.87</v>
      </c>
      <c r="D138" s="37">
        <v>-0.69</v>
      </c>
      <c r="E138" s="37">
        <v>-0.41</v>
      </c>
      <c r="F138" s="37">
        <v>2.32</v>
      </c>
      <c r="G138" s="37">
        <v>1.24</v>
      </c>
      <c r="H138" s="37">
        <v>-0.19</v>
      </c>
      <c r="I138" s="37">
        <v>0.22</v>
      </c>
      <c r="J138" s="37">
        <v>-0.19</v>
      </c>
      <c r="K138" s="34"/>
      <c r="L138" s="35" t="s">
        <v>21</v>
      </c>
      <c r="M138" s="41">
        <v>-0.64348</v>
      </c>
      <c r="N138" s="42">
        <v>0.861358</v>
      </c>
      <c r="O138" s="42">
        <v>0.917054</v>
      </c>
      <c r="P138" s="42">
        <v>-0.09408</v>
      </c>
      <c r="Q138" s="42">
        <v>-0.11693</v>
      </c>
      <c r="R138" s="42">
        <v>-0.49299</v>
      </c>
      <c r="S138" s="42">
        <v>-0.61448</v>
      </c>
      <c r="T138" s="42">
        <v>0.69714</v>
      </c>
      <c r="U138" s="42">
        <v>0.697146</v>
      </c>
      <c r="V138" s="43">
        <v>-0.32622</v>
      </c>
      <c r="W138" s="34"/>
      <c r="X138" s="34"/>
    </row>
    <row r="139">
      <c r="A139" s="36">
        <v>-0.55</v>
      </c>
      <c r="B139" s="37">
        <v>-0.41</v>
      </c>
      <c r="C139" s="37">
        <v>-0.56</v>
      </c>
      <c r="D139" s="37">
        <v>-0.68</v>
      </c>
      <c r="E139" s="37">
        <v>-0.5</v>
      </c>
      <c r="F139" s="37">
        <v>2.16</v>
      </c>
      <c r="G139" s="37">
        <v>1.42</v>
      </c>
      <c r="H139" s="37">
        <v>0.07</v>
      </c>
      <c r="I139" s="37">
        <v>0.18</v>
      </c>
      <c r="J139" s="37">
        <v>-1.41</v>
      </c>
      <c r="K139" s="34"/>
      <c r="L139" s="35" t="s">
        <v>22</v>
      </c>
      <c r="M139" s="41">
        <v>-0.18116</v>
      </c>
      <c r="N139" s="42">
        <v>-0.05565</v>
      </c>
      <c r="O139" s="42">
        <v>-0.09408</v>
      </c>
      <c r="P139" s="42">
        <v>0.965374</v>
      </c>
      <c r="Q139" s="42">
        <v>0.964266</v>
      </c>
      <c r="R139" s="42">
        <v>-0.28824</v>
      </c>
      <c r="S139" s="42">
        <v>-0.17507</v>
      </c>
      <c r="T139" s="42">
        <v>0.138574</v>
      </c>
      <c r="U139" s="42">
        <v>0.180702</v>
      </c>
      <c r="V139" s="43">
        <v>-0.18748</v>
      </c>
      <c r="W139" s="34"/>
      <c r="X139" s="34"/>
    </row>
    <row r="140">
      <c r="A140" s="36">
        <v>0.34</v>
      </c>
      <c r="B140" s="37">
        <v>-0.39</v>
      </c>
      <c r="C140" s="37">
        <v>-0.45</v>
      </c>
      <c r="D140" s="37">
        <v>2.57</v>
      </c>
      <c r="E140" s="37">
        <v>1.99</v>
      </c>
      <c r="F140" s="37">
        <v>-0.74</v>
      </c>
      <c r="G140" s="37">
        <v>-0.5</v>
      </c>
      <c r="H140" s="37">
        <v>0.39</v>
      </c>
      <c r="I140" s="37">
        <v>0.16</v>
      </c>
      <c r="J140" s="37">
        <v>-1.02</v>
      </c>
      <c r="K140" s="34"/>
      <c r="L140" s="35" t="s">
        <v>23</v>
      </c>
      <c r="M140" s="41">
        <v>-0.13621</v>
      </c>
      <c r="N140" s="42">
        <v>-0.08983</v>
      </c>
      <c r="O140" s="42">
        <v>-0.11693</v>
      </c>
      <c r="P140" s="42">
        <v>0.964266</v>
      </c>
      <c r="Q140" s="42">
        <v>0.966286</v>
      </c>
      <c r="R140" s="42">
        <v>-0.31149</v>
      </c>
      <c r="S140" s="42">
        <v>-0.19166</v>
      </c>
      <c r="T140" s="42">
        <v>0.092597</v>
      </c>
      <c r="U140" s="42">
        <v>0.135203</v>
      </c>
      <c r="V140" s="43">
        <v>-0.14395</v>
      </c>
      <c r="W140" s="34"/>
      <c r="X140" s="34"/>
    </row>
    <row r="141">
      <c r="A141" s="36">
        <v>1.99</v>
      </c>
      <c r="B141" s="37">
        <v>-1.19</v>
      </c>
      <c r="C141" s="37">
        <v>-0.63</v>
      </c>
      <c r="D141" s="37">
        <v>-0.49</v>
      </c>
      <c r="E141" s="37">
        <v>-0.67</v>
      </c>
      <c r="F141" s="37">
        <v>0.32</v>
      </c>
      <c r="G141" s="37">
        <v>0.09</v>
      </c>
      <c r="H141" s="37">
        <v>-1.29</v>
      </c>
      <c r="I141" s="37">
        <v>-1.35</v>
      </c>
      <c r="J141" s="37">
        <v>0.97</v>
      </c>
      <c r="K141" s="34"/>
      <c r="L141" s="35" t="s">
        <v>24</v>
      </c>
      <c r="M141" s="41">
        <v>0.013016</v>
      </c>
      <c r="N141" s="42">
        <v>-0.29049</v>
      </c>
      <c r="O141" s="42">
        <v>-0.49299</v>
      </c>
      <c r="P141" s="42">
        <v>-0.28824</v>
      </c>
      <c r="Q141" s="42">
        <v>-0.31149</v>
      </c>
      <c r="R141" s="42">
        <v>0.920916</v>
      </c>
      <c r="S141" s="42">
        <v>0.874011</v>
      </c>
      <c r="T141" s="42">
        <v>-0.04755</v>
      </c>
      <c r="U141" s="42">
        <v>-0.06563</v>
      </c>
      <c r="V141" s="43">
        <v>-0.28697</v>
      </c>
      <c r="W141" s="34"/>
      <c r="X141" s="34"/>
    </row>
    <row r="142">
      <c r="A142" s="36">
        <v>1.06</v>
      </c>
      <c r="B142" s="37">
        <v>-0.84</v>
      </c>
      <c r="C142" s="37">
        <v>-0.84</v>
      </c>
      <c r="D142" s="37">
        <v>-0.76</v>
      </c>
      <c r="E142" s="37">
        <v>-0.74</v>
      </c>
      <c r="F142" s="37">
        <v>0.0</v>
      </c>
      <c r="G142" s="37">
        <v>1.27</v>
      </c>
      <c r="H142" s="37">
        <v>-1.61</v>
      </c>
      <c r="I142" s="37">
        <v>-1.48</v>
      </c>
      <c r="J142" s="37">
        <v>1.91</v>
      </c>
      <c r="K142" s="34"/>
      <c r="L142" s="35" t="s">
        <v>25</v>
      </c>
      <c r="M142" s="41">
        <v>0.175304</v>
      </c>
      <c r="N142" s="42">
        <v>-0.42916</v>
      </c>
      <c r="O142" s="42">
        <v>-0.61448</v>
      </c>
      <c r="P142" s="42">
        <v>-0.17507</v>
      </c>
      <c r="Q142" s="42">
        <v>-0.19166</v>
      </c>
      <c r="R142" s="42">
        <v>0.874011</v>
      </c>
      <c r="S142" s="42">
        <v>0.928778</v>
      </c>
      <c r="T142" s="42">
        <v>-0.16063</v>
      </c>
      <c r="U142" s="42">
        <v>-0.19508</v>
      </c>
      <c r="V142" s="43">
        <v>-0.0621</v>
      </c>
      <c r="W142" s="34"/>
      <c r="X142" s="34"/>
    </row>
    <row r="143">
      <c r="A143" s="36">
        <v>-0.09</v>
      </c>
      <c r="B143" s="37">
        <v>-0.17</v>
      </c>
      <c r="C143" s="37">
        <v>-0.63</v>
      </c>
      <c r="D143" s="37">
        <v>2.0</v>
      </c>
      <c r="E143" s="37">
        <v>1.81</v>
      </c>
      <c r="F143" s="37">
        <v>-0.28</v>
      </c>
      <c r="G143" s="37">
        <v>0.13</v>
      </c>
      <c r="H143" s="37">
        <v>1.02</v>
      </c>
      <c r="I143" s="37">
        <v>0.36</v>
      </c>
      <c r="J143" s="37">
        <v>0.03</v>
      </c>
      <c r="K143" s="34"/>
      <c r="L143" s="35" t="s">
        <v>26</v>
      </c>
      <c r="M143" s="41">
        <v>-0.84904</v>
      </c>
      <c r="N143" s="42">
        <v>0.799678</v>
      </c>
      <c r="O143" s="42">
        <v>0.69714</v>
      </c>
      <c r="P143" s="42">
        <v>0.138574</v>
      </c>
      <c r="Q143" s="42">
        <v>0.092597</v>
      </c>
      <c r="R143" s="42">
        <v>-0.04755</v>
      </c>
      <c r="S143" s="42">
        <v>-0.16063</v>
      </c>
      <c r="T143" s="42">
        <v>0.880598</v>
      </c>
      <c r="U143" s="42">
        <v>0.882693</v>
      </c>
      <c r="V143" s="43">
        <v>-0.67299</v>
      </c>
      <c r="W143" s="34"/>
      <c r="X143" s="34"/>
    </row>
    <row r="144">
      <c r="A144" s="36">
        <v>0.03</v>
      </c>
      <c r="B144" s="37">
        <v>-0.5</v>
      </c>
      <c r="C144" s="37">
        <v>-0.35</v>
      </c>
      <c r="D144" s="37">
        <v>1.74</v>
      </c>
      <c r="E144" s="37">
        <v>1.94</v>
      </c>
      <c r="F144" s="37">
        <v>-0.19</v>
      </c>
      <c r="G144" s="37">
        <v>-0.73</v>
      </c>
      <c r="H144" s="37">
        <v>0.38</v>
      </c>
      <c r="I144" s="37">
        <v>0.67</v>
      </c>
      <c r="J144" s="37">
        <v>-0.23</v>
      </c>
      <c r="K144" s="34"/>
      <c r="L144" s="35" t="s">
        <v>27</v>
      </c>
      <c r="M144" s="41">
        <v>-0.87176</v>
      </c>
      <c r="N144" s="42">
        <v>0.800611</v>
      </c>
      <c r="O144" s="42">
        <v>0.697146</v>
      </c>
      <c r="P144" s="42">
        <v>0.180702</v>
      </c>
      <c r="Q144" s="42">
        <v>0.135203</v>
      </c>
      <c r="R144" s="42">
        <v>-0.06563</v>
      </c>
      <c r="S144" s="42">
        <v>-0.19508</v>
      </c>
      <c r="T144" s="42">
        <v>0.882693</v>
      </c>
      <c r="U144" s="42">
        <v>0.89372</v>
      </c>
      <c r="V144" s="43">
        <v>-0.72196</v>
      </c>
      <c r="W144" s="34"/>
      <c r="X144" s="34"/>
    </row>
    <row r="145">
      <c r="A145" s="36">
        <v>-1.01</v>
      </c>
      <c r="B145" s="37">
        <v>-0.61</v>
      </c>
      <c r="C145" s="37">
        <v>-0.16</v>
      </c>
      <c r="D145" s="37">
        <v>1.84</v>
      </c>
      <c r="E145" s="37">
        <v>1.51</v>
      </c>
      <c r="F145" s="37">
        <v>-0.68</v>
      </c>
      <c r="G145" s="37">
        <v>-0.01</v>
      </c>
      <c r="H145" s="37">
        <v>0.12</v>
      </c>
      <c r="I145" s="37">
        <v>0.01</v>
      </c>
      <c r="J145" s="37">
        <v>-0.38</v>
      </c>
      <c r="K145" s="34"/>
      <c r="L145" s="35" t="s">
        <v>28</v>
      </c>
      <c r="M145" s="44">
        <v>0.796233</v>
      </c>
      <c r="N145" s="45">
        <v>-0.50321</v>
      </c>
      <c r="O145" s="45">
        <v>-0.32622</v>
      </c>
      <c r="P145" s="45">
        <v>-0.18748</v>
      </c>
      <c r="Q145" s="45">
        <v>-0.14395</v>
      </c>
      <c r="R145" s="45">
        <v>-0.28697</v>
      </c>
      <c r="S145" s="45">
        <v>-0.0621</v>
      </c>
      <c r="T145" s="45">
        <v>-0.67299</v>
      </c>
      <c r="U145" s="45">
        <v>-0.72196</v>
      </c>
      <c r="V145" s="46">
        <v>0.967472</v>
      </c>
      <c r="W145" s="34"/>
      <c r="X145" s="34"/>
    </row>
    <row r="146">
      <c r="A146" s="36">
        <v>-0.23</v>
      </c>
      <c r="B146" s="37">
        <v>-0.74</v>
      </c>
      <c r="C146" s="37">
        <v>-0.1</v>
      </c>
      <c r="D146" s="37">
        <v>1.73</v>
      </c>
      <c r="E146" s="37">
        <v>2.33</v>
      </c>
      <c r="F146" s="37">
        <v>-0.14</v>
      </c>
      <c r="G146" s="37">
        <v>0.05</v>
      </c>
      <c r="H146" s="37">
        <v>-0.31</v>
      </c>
      <c r="I146" s="37">
        <v>0.28</v>
      </c>
      <c r="J146" s="37">
        <v>-0.18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>
      <c r="A147" s="36">
        <v>-1.09</v>
      </c>
      <c r="B147" s="37">
        <v>1.5</v>
      </c>
      <c r="C147" s="37">
        <v>0.93</v>
      </c>
      <c r="D147" s="37">
        <v>-0.11</v>
      </c>
      <c r="E147" s="37">
        <v>-0.43</v>
      </c>
      <c r="F147" s="37">
        <v>-0.89</v>
      </c>
      <c r="G147" s="37">
        <v>-1.01</v>
      </c>
      <c r="H147" s="37">
        <v>0.84</v>
      </c>
      <c r="I147" s="37">
        <v>1.21</v>
      </c>
      <c r="J147" s="37">
        <v>-0.69</v>
      </c>
      <c r="K147" s="34"/>
      <c r="L147" s="35" t="s">
        <v>51</v>
      </c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>
      <c r="A148" s="36">
        <v>-0.09</v>
      </c>
      <c r="B148" s="37">
        <v>-0.64</v>
      </c>
      <c r="C148" s="37">
        <v>-0.46</v>
      </c>
      <c r="D148" s="37">
        <v>-0.15</v>
      </c>
      <c r="E148" s="37">
        <v>-0.71</v>
      </c>
      <c r="F148" s="37">
        <v>1.28</v>
      </c>
      <c r="G148" s="37">
        <v>1.53</v>
      </c>
      <c r="H148" s="37">
        <v>0.31</v>
      </c>
      <c r="I148" s="37">
        <v>0.41</v>
      </c>
      <c r="J148" s="37">
        <v>-0.55</v>
      </c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>
      <c r="A149" s="36">
        <v>-0.17</v>
      </c>
      <c r="B149" s="37">
        <v>0.39</v>
      </c>
      <c r="C149" s="37">
        <v>-0.42</v>
      </c>
      <c r="D149" s="37">
        <v>-0.55</v>
      </c>
      <c r="E149" s="37">
        <v>-0.4</v>
      </c>
      <c r="F149" s="37">
        <v>2.26</v>
      </c>
      <c r="G149" s="37">
        <v>1.15</v>
      </c>
      <c r="H149" s="37">
        <v>-0.32</v>
      </c>
      <c r="I149" s="37">
        <v>0.68</v>
      </c>
      <c r="J149" s="37">
        <v>-0.81</v>
      </c>
      <c r="K149" s="34"/>
      <c r="L149" s="34"/>
      <c r="M149" s="35" t="s">
        <v>19</v>
      </c>
      <c r="N149" s="35" t="s">
        <v>20</v>
      </c>
      <c r="O149" s="35" t="s">
        <v>21</v>
      </c>
      <c r="P149" s="35" t="s">
        <v>22</v>
      </c>
      <c r="Q149" s="35" t="s">
        <v>23</v>
      </c>
      <c r="R149" s="35" t="s">
        <v>24</v>
      </c>
      <c r="S149" s="35" t="s">
        <v>25</v>
      </c>
      <c r="T149" s="35" t="s">
        <v>26</v>
      </c>
      <c r="U149" s="35" t="s">
        <v>27</v>
      </c>
      <c r="V149" s="35" t="s">
        <v>28</v>
      </c>
      <c r="W149" s="34"/>
      <c r="X149" s="34"/>
    </row>
    <row r="150">
      <c r="A150" s="36">
        <v>-1.22</v>
      </c>
      <c r="B150" s="37">
        <v>1.79</v>
      </c>
      <c r="C150" s="37">
        <v>1.27</v>
      </c>
      <c r="D150" s="37">
        <v>-0.34</v>
      </c>
      <c r="E150" s="37">
        <v>-0.28</v>
      </c>
      <c r="F150" s="37">
        <v>-0.89</v>
      </c>
      <c r="G150" s="37">
        <v>-0.84</v>
      </c>
      <c r="H150" s="37">
        <v>0.74</v>
      </c>
      <c r="I150" s="37">
        <v>1.18</v>
      </c>
      <c r="J150" s="37">
        <v>-0.58</v>
      </c>
      <c r="K150" s="34"/>
      <c r="L150" s="35" t="s">
        <v>19</v>
      </c>
      <c r="M150" s="38">
        <v>0.125582</v>
      </c>
      <c r="N150" s="39">
        <v>0.026706</v>
      </c>
      <c r="O150" s="39">
        <v>0.015076</v>
      </c>
      <c r="P150" s="39">
        <v>0.014122</v>
      </c>
      <c r="Q150" s="39">
        <v>-8.6E-4</v>
      </c>
      <c r="R150" s="39">
        <v>0.012162</v>
      </c>
      <c r="S150" s="39">
        <v>-0.00394</v>
      </c>
      <c r="T150" s="39">
        <v>0.032901</v>
      </c>
      <c r="U150" s="39">
        <v>0.017033</v>
      </c>
      <c r="V150" s="40">
        <v>-0.04282</v>
      </c>
      <c r="W150" s="34"/>
      <c r="X150" s="34"/>
    </row>
    <row r="151">
      <c r="A151" s="36">
        <v>0.28</v>
      </c>
      <c r="B151" s="37">
        <v>-0.1</v>
      </c>
      <c r="C151" s="37">
        <v>-0.6</v>
      </c>
      <c r="D151" s="37">
        <v>2.24</v>
      </c>
      <c r="E151" s="37">
        <v>1.68</v>
      </c>
      <c r="F151" s="37">
        <v>-0.33</v>
      </c>
      <c r="G151" s="37">
        <v>-0.19</v>
      </c>
      <c r="H151" s="37">
        <v>0.69</v>
      </c>
      <c r="I151" s="37">
        <v>0.02</v>
      </c>
      <c r="J151" s="37">
        <v>-0.37</v>
      </c>
      <c r="K151" s="34"/>
      <c r="L151" s="35" t="s">
        <v>20</v>
      </c>
      <c r="M151" s="41">
        <v>0.026706</v>
      </c>
      <c r="N151" s="42">
        <v>0.12649</v>
      </c>
      <c r="O151" s="42">
        <v>-0.0273</v>
      </c>
      <c r="P151" s="42">
        <v>0.012067</v>
      </c>
      <c r="Q151" s="42">
        <v>0.012175</v>
      </c>
      <c r="R151" s="42">
        <v>0.003032</v>
      </c>
      <c r="S151" s="42">
        <v>0.021587</v>
      </c>
      <c r="T151" s="42">
        <v>-0.04415</v>
      </c>
      <c r="U151" s="42">
        <v>-0.03365</v>
      </c>
      <c r="V151" s="43">
        <v>-0.01478</v>
      </c>
      <c r="W151" s="34"/>
      <c r="X151" s="34"/>
    </row>
    <row r="152">
      <c r="A152" s="36">
        <v>1.43</v>
      </c>
      <c r="B152" s="37">
        <v>-1.12</v>
      </c>
      <c r="C152" s="37">
        <v>-0.73</v>
      </c>
      <c r="D152" s="37">
        <v>-0.98</v>
      </c>
      <c r="E152" s="37">
        <v>-0.76</v>
      </c>
      <c r="F152" s="37">
        <v>-0.57</v>
      </c>
      <c r="G152" s="37">
        <v>0.61</v>
      </c>
      <c r="H152" s="37">
        <v>-1.15</v>
      </c>
      <c r="I152" s="37">
        <v>-1.52</v>
      </c>
      <c r="J152" s="37">
        <v>1.25</v>
      </c>
      <c r="K152" s="34"/>
      <c r="L152" s="35" t="s">
        <v>21</v>
      </c>
      <c r="M152" s="41">
        <v>0.015076</v>
      </c>
      <c r="N152" s="42">
        <v>-0.0273</v>
      </c>
      <c r="O152" s="42">
        <v>0.082946</v>
      </c>
      <c r="P152" s="42">
        <v>0.010215</v>
      </c>
      <c r="Q152" s="42">
        <v>0.009458</v>
      </c>
      <c r="R152" s="42">
        <v>0.010565</v>
      </c>
      <c r="S152" s="42">
        <v>0.025709</v>
      </c>
      <c r="T152" s="42">
        <v>-0.0254</v>
      </c>
      <c r="U152" s="42">
        <v>-0.01042</v>
      </c>
      <c r="V152" s="43">
        <v>-0.01591</v>
      </c>
      <c r="W152" s="34"/>
      <c r="X152" s="34"/>
    </row>
    <row r="153">
      <c r="A153" s="36">
        <v>-0.94</v>
      </c>
      <c r="B153" s="37">
        <v>1.97</v>
      </c>
      <c r="C153" s="37">
        <v>1.06</v>
      </c>
      <c r="D153" s="37">
        <v>-0.28</v>
      </c>
      <c r="E153" s="37">
        <v>-0.16</v>
      </c>
      <c r="F153" s="37">
        <v>-0.83</v>
      </c>
      <c r="G153" s="37">
        <v>-1.05</v>
      </c>
      <c r="H153" s="37">
        <v>1.53</v>
      </c>
      <c r="I153" s="37">
        <v>0.04</v>
      </c>
      <c r="J153" s="37">
        <v>-0.14</v>
      </c>
      <c r="K153" s="34"/>
      <c r="L153" s="35" t="s">
        <v>22</v>
      </c>
      <c r="M153" s="41">
        <v>0.014122</v>
      </c>
      <c r="N153" s="42">
        <v>0.012067</v>
      </c>
      <c r="O153" s="42">
        <v>0.010215</v>
      </c>
      <c r="P153" s="42">
        <v>0.034626</v>
      </c>
      <c r="Q153" s="42">
        <v>-0.02637</v>
      </c>
      <c r="R153" s="42">
        <v>0.01033</v>
      </c>
      <c r="S153" s="42">
        <v>-0.00147</v>
      </c>
      <c r="T153" s="42">
        <v>-0.00266</v>
      </c>
      <c r="U153" s="42">
        <v>-0.00839</v>
      </c>
      <c r="V153" s="43">
        <v>-0.00426</v>
      </c>
      <c r="W153" s="34"/>
      <c r="X153" s="34"/>
    </row>
    <row r="154">
      <c r="A154" s="36">
        <v>-1.05</v>
      </c>
      <c r="B154" s="37">
        <v>0.3</v>
      </c>
      <c r="C154" s="37">
        <v>1.82</v>
      </c>
      <c r="D154" s="37">
        <v>-0.07</v>
      </c>
      <c r="E154" s="37">
        <v>-0.37</v>
      </c>
      <c r="F154" s="37">
        <v>-0.74</v>
      </c>
      <c r="G154" s="37">
        <v>-0.49</v>
      </c>
      <c r="H154" s="37">
        <v>1.7</v>
      </c>
      <c r="I154" s="37">
        <v>1.58</v>
      </c>
      <c r="J154" s="37">
        <v>-0.11</v>
      </c>
      <c r="K154" s="34"/>
      <c r="L154" s="35" t="s">
        <v>23</v>
      </c>
      <c r="M154" s="41">
        <v>-8.6E-4</v>
      </c>
      <c r="N154" s="42">
        <v>0.012175</v>
      </c>
      <c r="O154" s="42">
        <v>0.009458</v>
      </c>
      <c r="P154" s="42">
        <v>-0.02637</v>
      </c>
      <c r="Q154" s="42">
        <v>0.033714</v>
      </c>
      <c r="R154" s="42">
        <v>0.008729</v>
      </c>
      <c r="S154" s="42">
        <v>0.002866</v>
      </c>
      <c r="T154" s="42">
        <v>-0.01515</v>
      </c>
      <c r="U154" s="42">
        <v>-0.00188</v>
      </c>
      <c r="V154" s="43">
        <v>9.66E-4</v>
      </c>
      <c r="W154" s="34"/>
      <c r="X154" s="34"/>
    </row>
    <row r="155">
      <c r="A155" s="36">
        <v>-0.02</v>
      </c>
      <c r="B155" s="37">
        <v>-1.03</v>
      </c>
      <c r="C155" s="37">
        <v>-0.47</v>
      </c>
      <c r="D155" s="37">
        <v>1.54</v>
      </c>
      <c r="E155" s="37">
        <v>2.68</v>
      </c>
      <c r="F155" s="37">
        <v>-0.59</v>
      </c>
      <c r="G155" s="37">
        <v>-0.29</v>
      </c>
      <c r="H155" s="37">
        <v>0.12</v>
      </c>
      <c r="I155" s="37">
        <v>0.13</v>
      </c>
      <c r="J155" s="37">
        <v>0.84</v>
      </c>
      <c r="K155" s="34"/>
      <c r="L155" s="35" t="s">
        <v>24</v>
      </c>
      <c r="M155" s="41">
        <v>0.012162</v>
      </c>
      <c r="N155" s="42">
        <v>0.003032</v>
      </c>
      <c r="O155" s="42">
        <v>0.010565</v>
      </c>
      <c r="P155" s="42">
        <v>0.01033</v>
      </c>
      <c r="Q155" s="42">
        <v>0.008729</v>
      </c>
      <c r="R155" s="42">
        <v>0.079084</v>
      </c>
      <c r="S155" s="42">
        <v>-0.05996</v>
      </c>
      <c r="T155" s="42">
        <v>-0.00464</v>
      </c>
      <c r="U155" s="42">
        <v>0.017025</v>
      </c>
      <c r="V155" s="43">
        <v>0.027519</v>
      </c>
      <c r="W155" s="34"/>
      <c r="X155" s="34"/>
    </row>
    <row r="156">
      <c r="A156" s="36">
        <v>1.07</v>
      </c>
      <c r="B156" s="37">
        <v>-1.01</v>
      </c>
      <c r="C156" s="37">
        <v>-0.89</v>
      </c>
      <c r="D156" s="37">
        <v>-0.92</v>
      </c>
      <c r="E156" s="37">
        <v>-0.69</v>
      </c>
      <c r="F156" s="37">
        <v>-0.18</v>
      </c>
      <c r="G156" s="37">
        <v>-0.2</v>
      </c>
      <c r="H156" s="37">
        <v>-1.55</v>
      </c>
      <c r="I156" s="37">
        <v>-1.89</v>
      </c>
      <c r="J156" s="37">
        <v>1.29</v>
      </c>
      <c r="K156" s="34"/>
      <c r="L156" s="35" t="s">
        <v>25</v>
      </c>
      <c r="M156" s="41">
        <v>-0.00394</v>
      </c>
      <c r="N156" s="42">
        <v>0.021587</v>
      </c>
      <c r="O156" s="42">
        <v>0.025709</v>
      </c>
      <c r="P156" s="42">
        <v>-0.00147</v>
      </c>
      <c r="Q156" s="42">
        <v>0.002866</v>
      </c>
      <c r="R156" s="42">
        <v>-0.05996</v>
      </c>
      <c r="S156" s="42">
        <v>0.071222</v>
      </c>
      <c r="T156" s="42">
        <v>-0.0313</v>
      </c>
      <c r="U156" s="42">
        <v>-0.02713</v>
      </c>
      <c r="V156" s="43">
        <v>-0.03194</v>
      </c>
      <c r="W156" s="34"/>
      <c r="X156" s="34"/>
    </row>
    <row r="157">
      <c r="A157" s="36">
        <v>-1.18</v>
      </c>
      <c r="B157" s="37">
        <v>1.74</v>
      </c>
      <c r="C157" s="37">
        <v>1.59</v>
      </c>
      <c r="D157" s="37">
        <v>-0.59</v>
      </c>
      <c r="E157" s="37">
        <v>-0.4</v>
      </c>
      <c r="F157" s="37">
        <v>-1.07</v>
      </c>
      <c r="G157" s="37">
        <v>-0.99</v>
      </c>
      <c r="H157" s="37">
        <v>1.72</v>
      </c>
      <c r="I157" s="37">
        <v>0.33</v>
      </c>
      <c r="J157" s="37">
        <v>-0.41</v>
      </c>
      <c r="K157" s="34"/>
      <c r="L157" s="35" t="s">
        <v>26</v>
      </c>
      <c r="M157" s="41">
        <v>0.032901</v>
      </c>
      <c r="N157" s="42">
        <v>-0.04415</v>
      </c>
      <c r="O157" s="42">
        <v>-0.0254</v>
      </c>
      <c r="P157" s="42">
        <v>-0.00266</v>
      </c>
      <c r="Q157" s="42">
        <v>-0.01515</v>
      </c>
      <c r="R157" s="42">
        <v>-0.00464</v>
      </c>
      <c r="S157" s="42">
        <v>-0.0313</v>
      </c>
      <c r="T157" s="42">
        <v>0.119402</v>
      </c>
      <c r="U157" s="42">
        <v>-0.04037</v>
      </c>
      <c r="V157" s="43">
        <v>-0.01183</v>
      </c>
      <c r="W157" s="34"/>
      <c r="X157" s="34"/>
    </row>
    <row r="158">
      <c r="A158" s="36">
        <v>-0.4</v>
      </c>
      <c r="B158" s="37">
        <v>0.2</v>
      </c>
      <c r="C158" s="37">
        <v>-0.45</v>
      </c>
      <c r="D158" s="37">
        <v>-0.64</v>
      </c>
      <c r="E158" s="37">
        <v>-0.59</v>
      </c>
      <c r="F158" s="37">
        <v>1.24</v>
      </c>
      <c r="G158" s="37">
        <v>1.86</v>
      </c>
      <c r="H158" s="37">
        <v>0.22</v>
      </c>
      <c r="I158" s="37">
        <v>0.96</v>
      </c>
      <c r="J158" s="37">
        <v>-0.78</v>
      </c>
      <c r="K158" s="34"/>
      <c r="L158" s="35" t="s">
        <v>27</v>
      </c>
      <c r="M158" s="41">
        <v>0.017033</v>
      </c>
      <c r="N158" s="42">
        <v>-0.03365</v>
      </c>
      <c r="O158" s="42">
        <v>-0.01042</v>
      </c>
      <c r="P158" s="42">
        <v>-0.00839</v>
      </c>
      <c r="Q158" s="42">
        <v>-0.00188</v>
      </c>
      <c r="R158" s="42">
        <v>0.017025</v>
      </c>
      <c r="S158" s="42">
        <v>-0.02713</v>
      </c>
      <c r="T158" s="42">
        <v>-0.04037</v>
      </c>
      <c r="U158" s="42">
        <v>0.10628</v>
      </c>
      <c r="V158" s="43">
        <v>0.017598</v>
      </c>
      <c r="W158" s="34"/>
      <c r="X158" s="34"/>
    </row>
    <row r="159">
      <c r="A159" s="36">
        <v>1.02</v>
      </c>
      <c r="B159" s="37">
        <v>-1.37</v>
      </c>
      <c r="C159" s="37">
        <v>-0.99</v>
      </c>
      <c r="D159" s="37">
        <v>-0.97</v>
      </c>
      <c r="E159" s="37">
        <v>-0.56</v>
      </c>
      <c r="F159" s="37">
        <v>0.03</v>
      </c>
      <c r="G159" s="37">
        <v>-0.87</v>
      </c>
      <c r="H159" s="37">
        <v>-1.29</v>
      </c>
      <c r="I159" s="37">
        <v>-1.62</v>
      </c>
      <c r="J159" s="37">
        <v>1.38</v>
      </c>
      <c r="K159" s="34"/>
      <c r="L159" s="35" t="s">
        <v>28</v>
      </c>
      <c r="M159" s="44">
        <v>-0.04282</v>
      </c>
      <c r="N159" s="45">
        <v>-0.01478</v>
      </c>
      <c r="O159" s="45">
        <v>-0.01591</v>
      </c>
      <c r="P159" s="45">
        <v>-0.00426</v>
      </c>
      <c r="Q159" s="45">
        <v>9.66E-4</v>
      </c>
      <c r="R159" s="45">
        <v>0.027519</v>
      </c>
      <c r="S159" s="45">
        <v>-0.03194</v>
      </c>
      <c r="T159" s="45">
        <v>-0.01183</v>
      </c>
      <c r="U159" s="45">
        <v>0.017598</v>
      </c>
      <c r="V159" s="46">
        <v>0.032528</v>
      </c>
      <c r="W159" s="34"/>
      <c r="X159" s="34"/>
    </row>
    <row r="160">
      <c r="A160" s="36">
        <v>-0.71</v>
      </c>
      <c r="B160" s="37">
        <v>1.82</v>
      </c>
      <c r="C160" s="37">
        <v>1.41</v>
      </c>
      <c r="D160" s="37">
        <v>-0.48</v>
      </c>
      <c r="E160" s="37">
        <v>-0.74</v>
      </c>
      <c r="F160" s="37">
        <v>-1.06</v>
      </c>
      <c r="G160" s="37">
        <v>-1.2</v>
      </c>
      <c r="H160" s="37">
        <v>0.44</v>
      </c>
      <c r="I160" s="37">
        <v>0.95</v>
      </c>
      <c r="J160" s="37">
        <v>-0.42</v>
      </c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>
      <c r="A161" s="36">
        <v>-0.42</v>
      </c>
      <c r="B161" s="37">
        <v>-0.35</v>
      </c>
      <c r="C161" s="37">
        <v>-0.46</v>
      </c>
      <c r="D161" s="37">
        <v>-0.42</v>
      </c>
      <c r="E161" s="37">
        <v>-0.73</v>
      </c>
      <c r="F161" s="37">
        <v>2.08</v>
      </c>
      <c r="G161" s="37">
        <v>1.17</v>
      </c>
      <c r="H161" s="37">
        <v>0.22</v>
      </c>
      <c r="I161" s="37">
        <v>0.54</v>
      </c>
      <c r="J161" s="37">
        <v>-0.66</v>
      </c>
      <c r="K161" s="34"/>
      <c r="L161" s="35" t="s">
        <v>52</v>
      </c>
      <c r="P161" s="34"/>
      <c r="Q161" s="34"/>
      <c r="R161" s="34"/>
      <c r="S161" s="34"/>
      <c r="T161" s="34"/>
      <c r="U161" s="34"/>
      <c r="V161" s="34"/>
      <c r="W161" s="34"/>
      <c r="X161" s="34"/>
    </row>
    <row r="162">
      <c r="A162" s="36">
        <v>0.37</v>
      </c>
      <c r="B162" s="37">
        <v>-0.24</v>
      </c>
      <c r="C162" s="37">
        <v>-0.54</v>
      </c>
      <c r="D162" s="37">
        <v>1.98</v>
      </c>
      <c r="E162" s="37">
        <v>1.45</v>
      </c>
      <c r="F162" s="37">
        <v>-0.52</v>
      </c>
      <c r="G162" s="37">
        <v>-0.35</v>
      </c>
      <c r="H162" s="37">
        <v>-0.21</v>
      </c>
      <c r="I162" s="37">
        <v>0.06</v>
      </c>
      <c r="J162" s="37">
        <v>-1.28</v>
      </c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>
      <c r="A163" s="36">
        <v>-0.52</v>
      </c>
      <c r="B163" s="37">
        <v>-0.04</v>
      </c>
      <c r="C163" s="37">
        <v>-0.46</v>
      </c>
      <c r="D163" s="37">
        <v>-0.69</v>
      </c>
      <c r="E163" s="37">
        <v>-0.29</v>
      </c>
      <c r="F163" s="37">
        <v>1.21</v>
      </c>
      <c r="G163" s="37">
        <v>1.8</v>
      </c>
      <c r="H163" s="37">
        <v>0.45</v>
      </c>
      <c r="I163" s="37">
        <v>0.06</v>
      </c>
      <c r="J163" s="37">
        <v>-0.02</v>
      </c>
      <c r="K163" s="34"/>
      <c r="L163" s="34"/>
      <c r="M163" s="42">
        <v>1.0</v>
      </c>
      <c r="N163" s="42">
        <v>2.0</v>
      </c>
      <c r="O163" s="42">
        <v>3.0</v>
      </c>
      <c r="P163" s="42">
        <v>4.0</v>
      </c>
      <c r="Q163" s="34"/>
      <c r="R163" s="34"/>
      <c r="S163" s="34"/>
      <c r="T163" s="34"/>
      <c r="U163" s="34"/>
      <c r="V163" s="34"/>
      <c r="W163" s="34"/>
      <c r="X163" s="34"/>
    </row>
    <row r="164">
      <c r="A164" s="36">
        <v>-0.71</v>
      </c>
      <c r="B164" s="37">
        <v>0.31</v>
      </c>
      <c r="C164" s="37">
        <v>-0.32</v>
      </c>
      <c r="D164" s="37">
        <v>-0.62</v>
      </c>
      <c r="E164" s="37">
        <v>-0.27</v>
      </c>
      <c r="F164" s="37">
        <v>1.45</v>
      </c>
      <c r="G164" s="37">
        <v>1.4</v>
      </c>
      <c r="H164" s="37">
        <v>0.35</v>
      </c>
      <c r="I164" s="37">
        <v>0.24</v>
      </c>
      <c r="J164" s="37">
        <v>-0.42</v>
      </c>
      <c r="K164" s="34"/>
      <c r="L164" s="35" t="s">
        <v>19</v>
      </c>
      <c r="M164" s="38">
        <v>-0.17244</v>
      </c>
      <c r="N164" s="39">
        <v>-0.02862</v>
      </c>
      <c r="O164" s="39">
        <v>-0.02413</v>
      </c>
      <c r="P164" s="40">
        <v>-0.21271</v>
      </c>
      <c r="Q164" s="34"/>
      <c r="R164" s="34"/>
      <c r="S164" s="34"/>
      <c r="T164" s="34"/>
      <c r="U164" s="34"/>
      <c r="V164" s="34"/>
      <c r="W164" s="34"/>
      <c r="X164" s="34"/>
    </row>
    <row r="165">
      <c r="A165" s="36">
        <v>-0.12</v>
      </c>
      <c r="B165" s="37">
        <v>-0.81</v>
      </c>
      <c r="C165" s="37">
        <v>-0.27</v>
      </c>
      <c r="D165" s="37">
        <v>-0.8</v>
      </c>
      <c r="E165" s="37">
        <v>-0.34</v>
      </c>
      <c r="F165" s="37">
        <v>1.97</v>
      </c>
      <c r="G165" s="37">
        <v>0.59</v>
      </c>
      <c r="H165" s="37">
        <v>-0.01</v>
      </c>
      <c r="I165" s="37">
        <v>-0.1</v>
      </c>
      <c r="J165" s="37">
        <v>-0.85</v>
      </c>
      <c r="K165" s="34"/>
      <c r="L165" s="35" t="s">
        <v>20</v>
      </c>
      <c r="M165" s="41">
        <v>0.246861</v>
      </c>
      <c r="N165" s="42">
        <v>-0.03425</v>
      </c>
      <c r="O165" s="42">
        <v>-0.07292</v>
      </c>
      <c r="P165" s="43">
        <v>-0.30576</v>
      </c>
      <c r="Q165" s="34"/>
      <c r="R165" s="34"/>
      <c r="S165" s="34"/>
      <c r="T165" s="34"/>
      <c r="U165" s="34"/>
      <c r="V165" s="34"/>
      <c r="W165" s="34"/>
      <c r="X165" s="34"/>
    </row>
    <row r="166">
      <c r="A166" s="36">
        <v>-1.0</v>
      </c>
      <c r="B166" s="37">
        <v>1.75</v>
      </c>
      <c r="C166" s="37">
        <v>2.24</v>
      </c>
      <c r="D166" s="37">
        <v>-0.07</v>
      </c>
      <c r="E166" s="37">
        <v>-0.45</v>
      </c>
      <c r="F166" s="37">
        <v>-0.96</v>
      </c>
      <c r="G166" s="37">
        <v>-1.78</v>
      </c>
      <c r="H166" s="37">
        <v>0.54</v>
      </c>
      <c r="I166" s="37">
        <v>1.34</v>
      </c>
      <c r="J166" s="37">
        <v>0.31</v>
      </c>
      <c r="K166" s="34"/>
      <c r="L166" s="35" t="s">
        <v>21</v>
      </c>
      <c r="M166" s="41">
        <v>0.198744</v>
      </c>
      <c r="N166" s="42">
        <v>-0.15755</v>
      </c>
      <c r="O166" s="42">
        <v>-0.11183</v>
      </c>
      <c r="P166" s="43">
        <v>-0.28835</v>
      </c>
      <c r="Q166" s="34"/>
      <c r="R166" s="34"/>
      <c r="S166" s="34"/>
      <c r="T166" s="34"/>
      <c r="U166" s="34"/>
      <c r="V166" s="34"/>
      <c r="W166" s="34"/>
      <c r="X166" s="34"/>
    </row>
    <row r="167">
      <c r="A167" s="36">
        <v>0.7</v>
      </c>
      <c r="B167" s="37">
        <v>-1.18</v>
      </c>
      <c r="C167" s="37">
        <v>-0.81</v>
      </c>
      <c r="D167" s="37">
        <v>-0.63</v>
      </c>
      <c r="E167" s="37">
        <v>-0.72</v>
      </c>
      <c r="F167" s="37">
        <v>0.0</v>
      </c>
      <c r="G167" s="37">
        <v>-0.22</v>
      </c>
      <c r="H167" s="37">
        <v>-1.44</v>
      </c>
      <c r="I167" s="37">
        <v>-1.33</v>
      </c>
      <c r="J167" s="37">
        <v>1.32</v>
      </c>
      <c r="K167" s="34"/>
      <c r="L167" s="35" t="s">
        <v>22</v>
      </c>
      <c r="M167" s="41">
        <v>0.030774</v>
      </c>
      <c r="N167" s="42">
        <v>0.054307</v>
      </c>
      <c r="O167" s="42">
        <v>0.491388</v>
      </c>
      <c r="P167" s="43">
        <v>-0.1688</v>
      </c>
      <c r="Q167" s="34"/>
      <c r="R167" s="34"/>
      <c r="S167" s="34"/>
      <c r="T167" s="34"/>
      <c r="U167" s="34"/>
      <c r="V167" s="34"/>
      <c r="W167" s="34"/>
      <c r="X167" s="34"/>
    </row>
    <row r="168">
      <c r="A168" s="36">
        <v>-0.25</v>
      </c>
      <c r="B168" s="37">
        <v>-0.4</v>
      </c>
      <c r="C168" s="37">
        <v>-0.44</v>
      </c>
      <c r="D168" s="37">
        <v>1.71</v>
      </c>
      <c r="E168" s="37">
        <v>1.78</v>
      </c>
      <c r="F168" s="37">
        <v>-0.12</v>
      </c>
      <c r="G168" s="37">
        <v>-0.12</v>
      </c>
      <c r="H168" s="37">
        <v>-0.25</v>
      </c>
      <c r="I168" s="37">
        <v>0.41</v>
      </c>
      <c r="J168" s="37">
        <v>-0.36</v>
      </c>
      <c r="K168" s="34"/>
      <c r="L168" s="35" t="s">
        <v>23</v>
      </c>
      <c r="M168" s="41">
        <v>0.00935</v>
      </c>
      <c r="N168" s="42">
        <v>0.030473</v>
      </c>
      <c r="O168" s="42">
        <v>0.486978</v>
      </c>
      <c r="P168" s="43">
        <v>-0.13372</v>
      </c>
      <c r="Q168" s="34"/>
      <c r="R168" s="34"/>
      <c r="S168" s="34"/>
      <c r="T168" s="34"/>
      <c r="U168" s="34"/>
      <c r="V168" s="34"/>
      <c r="W168" s="34"/>
      <c r="X168" s="34"/>
    </row>
    <row r="169">
      <c r="A169" s="36">
        <v>-0.78</v>
      </c>
      <c r="B169" s="37">
        <v>1.52</v>
      </c>
      <c r="C169" s="37">
        <v>1.5</v>
      </c>
      <c r="D169" s="37">
        <v>-0.24</v>
      </c>
      <c r="E169" s="37">
        <v>-0.63</v>
      </c>
      <c r="F169" s="37">
        <v>-1.14</v>
      </c>
      <c r="G169" s="37">
        <v>-1.59</v>
      </c>
      <c r="H169" s="37">
        <v>1.06</v>
      </c>
      <c r="I169" s="37">
        <v>1.61</v>
      </c>
      <c r="J169" s="37">
        <v>0.6</v>
      </c>
      <c r="K169" s="34"/>
      <c r="L169" s="35" t="s">
        <v>24</v>
      </c>
      <c r="M169" s="41">
        <v>0.059419</v>
      </c>
      <c r="N169" s="42">
        <v>0.414386</v>
      </c>
      <c r="O169" s="42">
        <v>-0.05711</v>
      </c>
      <c r="P169" s="43">
        <v>0.076348</v>
      </c>
      <c r="Q169" s="34"/>
      <c r="R169" s="34"/>
      <c r="S169" s="34"/>
      <c r="T169" s="34"/>
      <c r="U169" s="34"/>
      <c r="V169" s="34"/>
      <c r="W169" s="34"/>
      <c r="X169" s="34"/>
    </row>
    <row r="170">
      <c r="A170" s="36">
        <v>-0.86</v>
      </c>
      <c r="B170" s="37">
        <v>1.6</v>
      </c>
      <c r="C170" s="37">
        <v>0.61</v>
      </c>
      <c r="D170" s="37">
        <v>-0.42</v>
      </c>
      <c r="E170" s="37">
        <v>-0.49</v>
      </c>
      <c r="F170" s="37">
        <v>-1.04</v>
      </c>
      <c r="G170" s="37">
        <v>-1.19</v>
      </c>
      <c r="H170" s="37">
        <v>0.72</v>
      </c>
      <c r="I170" s="37">
        <v>0.3</v>
      </c>
      <c r="J170" s="37">
        <v>-0.11</v>
      </c>
      <c r="K170" s="34"/>
      <c r="L170" s="35" t="s">
        <v>25</v>
      </c>
      <c r="M170" s="41">
        <v>0.198139</v>
      </c>
      <c r="N170" s="42">
        <v>0.598729</v>
      </c>
      <c r="O170" s="42">
        <v>0.094538</v>
      </c>
      <c r="P170" s="43">
        <v>-0.75313</v>
      </c>
      <c r="Q170" s="34"/>
      <c r="R170" s="34"/>
      <c r="S170" s="34"/>
      <c r="T170" s="34"/>
      <c r="U170" s="34"/>
      <c r="V170" s="34"/>
      <c r="W170" s="34"/>
      <c r="X170" s="34"/>
    </row>
    <row r="171">
      <c r="A171" s="36">
        <v>-0.68</v>
      </c>
      <c r="B171" s="37">
        <v>0.02</v>
      </c>
      <c r="C171" s="37">
        <v>-0.14</v>
      </c>
      <c r="D171" s="37">
        <v>-0.67</v>
      </c>
      <c r="E171" s="37">
        <v>-0.9</v>
      </c>
      <c r="F171" s="37">
        <v>1.43</v>
      </c>
      <c r="G171" s="37">
        <v>1.87</v>
      </c>
      <c r="H171" s="37">
        <v>1.29</v>
      </c>
      <c r="I171" s="37">
        <v>-0.15</v>
      </c>
      <c r="J171" s="37">
        <v>-0.55</v>
      </c>
      <c r="K171" s="34"/>
      <c r="L171" s="35" t="s">
        <v>26</v>
      </c>
      <c r="M171" s="41">
        <v>0.342715</v>
      </c>
      <c r="N171" s="42">
        <v>0.193157</v>
      </c>
      <c r="O171" s="42">
        <v>0.081407</v>
      </c>
      <c r="P171" s="43">
        <v>-0.57116</v>
      </c>
      <c r="Q171" s="34"/>
      <c r="R171" s="34"/>
      <c r="S171" s="34"/>
      <c r="T171" s="34"/>
      <c r="U171" s="34"/>
      <c r="V171" s="34"/>
      <c r="W171" s="34"/>
      <c r="X171" s="34"/>
    </row>
    <row r="172">
      <c r="A172" s="36">
        <v>-0.49</v>
      </c>
      <c r="B172" s="37">
        <v>-0.12</v>
      </c>
      <c r="C172" s="37">
        <v>-0.05</v>
      </c>
      <c r="D172" s="37">
        <v>-0.78</v>
      </c>
      <c r="E172" s="37">
        <v>-0.48</v>
      </c>
      <c r="F172" s="37">
        <v>1.72</v>
      </c>
      <c r="G172" s="37">
        <v>1.87</v>
      </c>
      <c r="H172" s="37">
        <v>0.27</v>
      </c>
      <c r="I172" s="37">
        <v>0.4</v>
      </c>
      <c r="J172" s="37">
        <v>-0.92</v>
      </c>
      <c r="K172" s="34"/>
      <c r="L172" s="35" t="s">
        <v>27</v>
      </c>
      <c r="M172" s="41">
        <v>0.28215</v>
      </c>
      <c r="N172" s="42">
        <v>0.123625</v>
      </c>
      <c r="O172" s="42">
        <v>0.071107</v>
      </c>
      <c r="P172" s="43">
        <v>-0.29088</v>
      </c>
      <c r="Q172" s="34"/>
      <c r="R172" s="34"/>
      <c r="S172" s="34"/>
      <c r="T172" s="34"/>
      <c r="U172" s="34"/>
      <c r="V172" s="34"/>
      <c r="W172" s="34"/>
      <c r="X172" s="34"/>
    </row>
    <row r="173">
      <c r="A173" s="36">
        <v>-0.91</v>
      </c>
      <c r="B173" s="37">
        <v>1.13</v>
      </c>
      <c r="C173" s="37">
        <v>1.88</v>
      </c>
      <c r="D173" s="37">
        <v>-0.39</v>
      </c>
      <c r="E173" s="37">
        <v>-0.27</v>
      </c>
      <c r="F173" s="37">
        <v>-0.93</v>
      </c>
      <c r="G173" s="37">
        <v>-0.68</v>
      </c>
      <c r="H173" s="37">
        <v>0.95</v>
      </c>
      <c r="I173" s="37">
        <v>0.37</v>
      </c>
      <c r="J173" s="37">
        <v>0.14</v>
      </c>
      <c r="K173" s="34"/>
      <c r="L173" s="35" t="s">
        <v>28</v>
      </c>
      <c r="M173" s="44">
        <v>0.102354</v>
      </c>
      <c r="N173" s="45">
        <v>0.116663</v>
      </c>
      <c r="O173" s="45">
        <v>0.062566</v>
      </c>
      <c r="P173" s="46">
        <v>-1.43253</v>
      </c>
      <c r="Q173" s="34"/>
      <c r="R173" s="34"/>
      <c r="S173" s="34"/>
      <c r="T173" s="34"/>
      <c r="U173" s="34"/>
      <c r="V173" s="34"/>
      <c r="W173" s="34"/>
      <c r="X173" s="34"/>
    </row>
    <row r="174">
      <c r="A174" s="36">
        <v>-0.63</v>
      </c>
      <c r="B174" s="37">
        <v>-0.35</v>
      </c>
      <c r="C174" s="37">
        <v>-0.58</v>
      </c>
      <c r="D174" s="37">
        <v>-0.26</v>
      </c>
      <c r="E174" s="37">
        <v>-0.9</v>
      </c>
      <c r="F174" s="37">
        <v>2.49</v>
      </c>
      <c r="G174" s="37">
        <v>1.85</v>
      </c>
      <c r="H174" s="37">
        <v>0.33</v>
      </c>
      <c r="I174" s="37">
        <v>0.27</v>
      </c>
      <c r="J174" s="37">
        <v>-0.64</v>
      </c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>
      <c r="A175" s="36">
        <v>-0.88</v>
      </c>
      <c r="B175" s="37">
        <v>1.68</v>
      </c>
      <c r="C175" s="37">
        <v>1.84</v>
      </c>
      <c r="D175" s="37">
        <v>-0.31</v>
      </c>
      <c r="E175" s="37">
        <v>-0.38</v>
      </c>
      <c r="F175" s="37">
        <v>-0.95</v>
      </c>
      <c r="G175" s="37">
        <v>-1.2</v>
      </c>
      <c r="H175" s="37">
        <v>1.6</v>
      </c>
      <c r="I175" s="37">
        <v>1.21</v>
      </c>
      <c r="J175" s="37">
        <v>-1.47</v>
      </c>
      <c r="K175" s="34"/>
      <c r="L175" s="35" t="s">
        <v>53</v>
      </c>
      <c r="P175" s="34"/>
      <c r="Q175" s="34"/>
      <c r="R175" s="34"/>
      <c r="S175" s="34"/>
      <c r="T175" s="34"/>
      <c r="U175" s="34"/>
      <c r="V175" s="34"/>
      <c r="W175" s="34"/>
      <c r="X175" s="34"/>
    </row>
    <row r="176">
      <c r="A176" s="36">
        <v>-0.16</v>
      </c>
      <c r="B176" s="37">
        <v>0.0</v>
      </c>
      <c r="C176" s="37">
        <v>-0.49</v>
      </c>
      <c r="D176" s="37">
        <v>-0.57</v>
      </c>
      <c r="E176" s="37">
        <v>-0.32</v>
      </c>
      <c r="F176" s="37">
        <v>1.9</v>
      </c>
      <c r="G176" s="37">
        <v>0.77</v>
      </c>
      <c r="H176" s="37">
        <v>0.43</v>
      </c>
      <c r="I176" s="37">
        <v>-0.06</v>
      </c>
      <c r="J176" s="37">
        <v>-1.33</v>
      </c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>
      <c r="A177" s="36">
        <v>-1.05</v>
      </c>
      <c r="B177" s="37">
        <v>1.8</v>
      </c>
      <c r="C177" s="37">
        <v>2.05</v>
      </c>
      <c r="D177" s="37">
        <v>-0.23</v>
      </c>
      <c r="E177" s="37">
        <v>-0.21</v>
      </c>
      <c r="F177" s="37">
        <v>-0.83</v>
      </c>
      <c r="G177" s="37">
        <v>-1.37</v>
      </c>
      <c r="H177" s="37">
        <v>1.22</v>
      </c>
      <c r="I177" s="37">
        <v>1.28</v>
      </c>
      <c r="J177" s="37">
        <v>-0.1</v>
      </c>
      <c r="K177" s="34"/>
      <c r="L177" s="34"/>
      <c r="M177" s="42">
        <v>1.0</v>
      </c>
      <c r="N177" s="42">
        <v>2.0</v>
      </c>
      <c r="O177" s="42">
        <v>3.0</v>
      </c>
      <c r="P177" s="42">
        <v>4.0</v>
      </c>
      <c r="Q177" s="34"/>
      <c r="R177" s="34"/>
      <c r="S177" s="34"/>
      <c r="T177" s="34"/>
      <c r="U177" s="34"/>
      <c r="V177" s="34"/>
      <c r="W177" s="34"/>
      <c r="X177" s="34"/>
    </row>
    <row r="178">
      <c r="A178" s="36">
        <v>0.0</v>
      </c>
      <c r="B178" s="37">
        <v>0.22</v>
      </c>
      <c r="C178" s="37">
        <v>-0.43</v>
      </c>
      <c r="D178" s="37">
        <v>-0.31</v>
      </c>
      <c r="E178" s="37">
        <v>-0.53</v>
      </c>
      <c r="F178" s="37">
        <v>1.21</v>
      </c>
      <c r="G178" s="37">
        <v>1.13</v>
      </c>
      <c r="H178" s="37">
        <v>-0.2</v>
      </c>
      <c r="I178" s="37">
        <v>0.05</v>
      </c>
      <c r="J178" s="37">
        <v>-0.82</v>
      </c>
      <c r="K178" s="34"/>
      <c r="L178" s="35" t="s">
        <v>19</v>
      </c>
      <c r="M178" s="38">
        <v>-0.17013</v>
      </c>
      <c r="N178" s="39">
        <v>-0.04301</v>
      </c>
      <c r="O178" s="39">
        <v>-0.01201</v>
      </c>
      <c r="P178" s="40">
        <v>0.075705</v>
      </c>
      <c r="Q178" s="34"/>
      <c r="R178" s="34"/>
      <c r="S178" s="34"/>
      <c r="T178" s="34"/>
      <c r="U178" s="34"/>
      <c r="V178" s="34"/>
      <c r="W178" s="34"/>
      <c r="X178" s="34"/>
    </row>
    <row r="179">
      <c r="A179" s="36">
        <v>-0.41</v>
      </c>
      <c r="B179" s="37">
        <v>-0.49</v>
      </c>
      <c r="C179" s="37">
        <v>-0.79</v>
      </c>
      <c r="D179" s="37">
        <v>1.92</v>
      </c>
      <c r="E179" s="37">
        <v>1.88</v>
      </c>
      <c r="F179" s="37">
        <v>-0.76</v>
      </c>
      <c r="G179" s="37">
        <v>-0.08</v>
      </c>
      <c r="H179" s="37">
        <v>0.29</v>
      </c>
      <c r="I179" s="37">
        <v>-0.57</v>
      </c>
      <c r="J179" s="37">
        <v>-0.62</v>
      </c>
      <c r="K179" s="34"/>
      <c r="L179" s="35" t="s">
        <v>20</v>
      </c>
      <c r="M179" s="41">
        <v>0.217309</v>
      </c>
      <c r="N179" s="42">
        <v>-0.004</v>
      </c>
      <c r="O179" s="42">
        <v>-0.01917</v>
      </c>
      <c r="P179" s="43">
        <v>-0.2464</v>
      </c>
      <c r="Q179" s="34"/>
      <c r="R179" s="34"/>
      <c r="S179" s="34"/>
      <c r="T179" s="34"/>
      <c r="U179" s="34"/>
      <c r="V179" s="34"/>
      <c r="W179" s="34"/>
      <c r="X179" s="34"/>
    </row>
    <row r="180">
      <c r="A180" s="36">
        <v>0.98</v>
      </c>
      <c r="B180" s="37">
        <v>-1.25</v>
      </c>
      <c r="C180" s="37">
        <v>-0.73</v>
      </c>
      <c r="D180" s="37">
        <v>-0.72</v>
      </c>
      <c r="E180" s="37">
        <v>-0.64</v>
      </c>
      <c r="F180" s="37">
        <v>-0.92</v>
      </c>
      <c r="G180" s="37">
        <v>0.43</v>
      </c>
      <c r="H180" s="37">
        <v>-1.64</v>
      </c>
      <c r="I180" s="37">
        <v>-1.47</v>
      </c>
      <c r="J180" s="37">
        <v>1.44</v>
      </c>
      <c r="K180" s="34"/>
      <c r="L180" s="35" t="s">
        <v>21</v>
      </c>
      <c r="M180" s="41">
        <v>0.272291</v>
      </c>
      <c r="N180" s="42">
        <v>-0.12512</v>
      </c>
      <c r="O180" s="42">
        <v>-0.05469</v>
      </c>
      <c r="P180" s="43">
        <v>-0.30516</v>
      </c>
      <c r="Q180" s="34"/>
      <c r="R180" s="34"/>
      <c r="S180" s="34"/>
      <c r="T180" s="34"/>
      <c r="U180" s="34"/>
      <c r="V180" s="34"/>
      <c r="W180" s="34"/>
      <c r="X180" s="34"/>
    </row>
    <row r="181">
      <c r="A181" s="36">
        <v>-0.75</v>
      </c>
      <c r="B181" s="37">
        <v>0.59</v>
      </c>
      <c r="C181" s="37">
        <v>-0.03</v>
      </c>
      <c r="D181" s="37">
        <v>-0.29</v>
      </c>
      <c r="E181" s="37">
        <v>-0.01</v>
      </c>
      <c r="F181" s="37">
        <v>-0.69</v>
      </c>
      <c r="G181" s="37">
        <v>-1.04</v>
      </c>
      <c r="H181" s="37">
        <v>0.71</v>
      </c>
      <c r="I181" s="37">
        <v>1.28</v>
      </c>
      <c r="J181" s="37">
        <v>-0.92</v>
      </c>
      <c r="K181" s="34"/>
      <c r="L181" s="35" t="s">
        <v>22</v>
      </c>
      <c r="M181" s="41">
        <v>0.05951</v>
      </c>
      <c r="N181" s="42">
        <v>0.078572</v>
      </c>
      <c r="O181" s="42">
        <v>0.508071</v>
      </c>
      <c r="P181" s="43">
        <v>-0.20594</v>
      </c>
      <c r="Q181" s="34"/>
      <c r="R181" s="34"/>
      <c r="S181" s="34"/>
      <c r="T181" s="34"/>
      <c r="U181" s="34"/>
      <c r="V181" s="34"/>
      <c r="W181" s="34"/>
      <c r="X181" s="34"/>
    </row>
    <row r="182">
      <c r="A182" s="36">
        <v>0.16</v>
      </c>
      <c r="B182" s="37">
        <v>-0.15</v>
      </c>
      <c r="C182" s="37">
        <v>-0.21</v>
      </c>
      <c r="D182" s="37">
        <v>2.57</v>
      </c>
      <c r="E182" s="37">
        <v>2.02</v>
      </c>
      <c r="F182" s="37">
        <v>-0.68</v>
      </c>
      <c r="G182" s="37">
        <v>-0.35</v>
      </c>
      <c r="H182" s="37">
        <v>-0.89</v>
      </c>
      <c r="I182" s="37">
        <v>-0.18</v>
      </c>
      <c r="J182" s="37">
        <v>-0.41</v>
      </c>
      <c r="K182" s="34"/>
      <c r="L182" s="35" t="s">
        <v>23</v>
      </c>
      <c r="M182" s="41">
        <v>-0.00388</v>
      </c>
      <c r="N182" s="42">
        <v>0.023294</v>
      </c>
      <c r="O182" s="42">
        <v>0.512807</v>
      </c>
      <c r="P182" s="43">
        <v>-0.11754</v>
      </c>
      <c r="Q182" s="34"/>
      <c r="R182" s="34"/>
      <c r="S182" s="34"/>
      <c r="T182" s="34"/>
      <c r="U182" s="34"/>
      <c r="V182" s="34"/>
      <c r="W182" s="34"/>
      <c r="X182" s="34"/>
    </row>
    <row r="183">
      <c r="A183" s="36">
        <v>-1.03</v>
      </c>
      <c r="B183" s="37">
        <v>1.4</v>
      </c>
      <c r="C183" s="37">
        <v>1.12</v>
      </c>
      <c r="D183" s="37">
        <v>-0.12</v>
      </c>
      <c r="E183" s="37">
        <v>-0.34</v>
      </c>
      <c r="F183" s="37">
        <v>-0.93</v>
      </c>
      <c r="G183" s="37">
        <v>-1.25</v>
      </c>
      <c r="H183" s="37">
        <v>1.06</v>
      </c>
      <c r="I183" s="37">
        <v>1.29</v>
      </c>
      <c r="J183" s="37">
        <v>-0.87</v>
      </c>
      <c r="K183" s="34"/>
      <c r="L183" s="35" t="s">
        <v>24</v>
      </c>
      <c r="M183" s="41">
        <v>0.067491</v>
      </c>
      <c r="N183" s="42">
        <v>0.414968</v>
      </c>
      <c r="O183" s="42">
        <v>0.004192</v>
      </c>
      <c r="P183" s="43">
        <v>-0.08704</v>
      </c>
      <c r="Q183" s="34"/>
      <c r="R183" s="34"/>
      <c r="S183" s="34"/>
      <c r="T183" s="34"/>
      <c r="U183" s="34"/>
      <c r="V183" s="34"/>
      <c r="W183" s="34"/>
      <c r="X183" s="34"/>
    </row>
    <row r="184">
      <c r="A184" s="36">
        <v>1.05</v>
      </c>
      <c r="B184" s="37">
        <v>-1.12</v>
      </c>
      <c r="C184" s="37">
        <v>-0.94</v>
      </c>
      <c r="D184" s="37">
        <v>-0.83</v>
      </c>
      <c r="E184" s="37">
        <v>-0.67</v>
      </c>
      <c r="F184" s="37">
        <v>0.17</v>
      </c>
      <c r="G184" s="37">
        <v>0.21</v>
      </c>
      <c r="H184" s="37">
        <v>-1.4</v>
      </c>
      <c r="I184" s="37">
        <v>-1.24</v>
      </c>
      <c r="J184" s="37">
        <v>1.26</v>
      </c>
      <c r="K184" s="34"/>
      <c r="L184" s="35" t="s">
        <v>25</v>
      </c>
      <c r="M184" s="41">
        <v>0.221731</v>
      </c>
      <c r="N184" s="42">
        <v>0.627018</v>
      </c>
      <c r="O184" s="42">
        <v>0.090029</v>
      </c>
      <c r="P184" s="43">
        <v>-0.6336</v>
      </c>
      <c r="Q184" s="34"/>
      <c r="R184" s="34"/>
      <c r="S184" s="34"/>
      <c r="T184" s="34"/>
      <c r="U184" s="34"/>
      <c r="V184" s="34"/>
      <c r="W184" s="34"/>
      <c r="X184" s="34"/>
    </row>
    <row r="185">
      <c r="A185" s="36">
        <v>1.67</v>
      </c>
      <c r="B185" s="37">
        <v>-1.08</v>
      </c>
      <c r="C185" s="37">
        <v>-0.79</v>
      </c>
      <c r="D185" s="37">
        <v>-0.79</v>
      </c>
      <c r="E185" s="37">
        <v>-0.9</v>
      </c>
      <c r="F185" s="37">
        <v>-0.22</v>
      </c>
      <c r="G185" s="37">
        <v>0.89</v>
      </c>
      <c r="H185" s="37">
        <v>-1.28</v>
      </c>
      <c r="I185" s="37">
        <v>-1.21</v>
      </c>
      <c r="J185" s="37">
        <v>1.83</v>
      </c>
      <c r="K185" s="34"/>
      <c r="L185" s="35" t="s">
        <v>26</v>
      </c>
      <c r="M185" s="41">
        <v>0.301144</v>
      </c>
      <c r="N185" s="42">
        <v>0.138754</v>
      </c>
      <c r="O185" s="42">
        <v>0.035589</v>
      </c>
      <c r="P185" s="43">
        <v>-0.41284</v>
      </c>
      <c r="Q185" s="34"/>
      <c r="R185" s="34"/>
      <c r="S185" s="34"/>
      <c r="T185" s="34"/>
      <c r="U185" s="34"/>
      <c r="V185" s="34"/>
      <c r="W185" s="34"/>
      <c r="X185" s="34"/>
    </row>
    <row r="186">
      <c r="A186" s="36">
        <v>-0.02</v>
      </c>
      <c r="B186" s="37">
        <v>-0.27</v>
      </c>
      <c r="C186" s="37">
        <v>-0.54</v>
      </c>
      <c r="D186" s="37">
        <v>1.73</v>
      </c>
      <c r="E186" s="37">
        <v>2.11</v>
      </c>
      <c r="F186" s="37">
        <v>-0.22</v>
      </c>
      <c r="G186" s="37">
        <v>-0.39</v>
      </c>
      <c r="H186" s="37">
        <v>-0.32</v>
      </c>
      <c r="I186" s="37">
        <v>0.11</v>
      </c>
      <c r="J186" s="37">
        <v>0.19</v>
      </c>
      <c r="K186" s="34"/>
      <c r="L186" s="35" t="s">
        <v>27</v>
      </c>
      <c r="M186" s="41">
        <v>0.290044</v>
      </c>
      <c r="N186" s="42">
        <v>0.110483</v>
      </c>
      <c r="O186" s="42">
        <v>0.033621</v>
      </c>
      <c r="P186" s="43">
        <v>-0.32913</v>
      </c>
      <c r="Q186" s="34"/>
      <c r="R186" s="34"/>
      <c r="S186" s="34"/>
      <c r="T186" s="34"/>
      <c r="U186" s="34"/>
      <c r="V186" s="34"/>
      <c r="W186" s="34"/>
      <c r="X186" s="34"/>
    </row>
    <row r="187">
      <c r="A187" s="36">
        <v>-0.79</v>
      </c>
      <c r="B187" s="37">
        <v>-1.04</v>
      </c>
      <c r="C187" s="37">
        <v>-0.57</v>
      </c>
      <c r="D187" s="37">
        <v>-0.72</v>
      </c>
      <c r="E187" s="37">
        <v>-0.62</v>
      </c>
      <c r="F187" s="37">
        <v>1.49</v>
      </c>
      <c r="G187" s="37">
        <v>0.96</v>
      </c>
      <c r="H187" s="37">
        <v>1.01</v>
      </c>
      <c r="I187" s="37">
        <v>0.4</v>
      </c>
      <c r="J187" s="37">
        <v>-0.63</v>
      </c>
      <c r="K187" s="34"/>
      <c r="L187" s="35" t="s">
        <v>28</v>
      </c>
      <c r="M187" s="44">
        <v>0.094362</v>
      </c>
      <c r="N187" s="45">
        <v>0.113144</v>
      </c>
      <c r="O187" s="45">
        <v>0.064935</v>
      </c>
      <c r="P187" s="46">
        <v>-1.60869</v>
      </c>
      <c r="Q187" s="34"/>
      <c r="R187" s="34"/>
      <c r="S187" s="34"/>
      <c r="T187" s="34"/>
      <c r="U187" s="34"/>
      <c r="V187" s="34"/>
      <c r="W187" s="34"/>
      <c r="X187" s="34"/>
    </row>
    <row r="188">
      <c r="A188" s="36">
        <v>1.81</v>
      </c>
      <c r="B188" s="37">
        <v>-1.29</v>
      </c>
      <c r="C188" s="37">
        <v>-0.71</v>
      </c>
      <c r="D188" s="37">
        <v>-0.7</v>
      </c>
      <c r="E188" s="37">
        <v>-0.5</v>
      </c>
      <c r="F188" s="37">
        <v>-0.57</v>
      </c>
      <c r="G188" s="37">
        <v>-0.86</v>
      </c>
      <c r="H188" s="37">
        <v>-1.3</v>
      </c>
      <c r="I188" s="37">
        <v>-1.38</v>
      </c>
      <c r="J188" s="37">
        <v>0.95</v>
      </c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>
      <c r="A189" s="36">
        <v>-0.62</v>
      </c>
      <c r="B189" s="37">
        <v>0.39</v>
      </c>
      <c r="C189" s="37">
        <v>-0.68</v>
      </c>
      <c r="D189" s="37">
        <v>-0.21</v>
      </c>
      <c r="E189" s="37">
        <v>-0.69</v>
      </c>
      <c r="F189" s="37">
        <v>1.78</v>
      </c>
      <c r="G189" s="37">
        <v>1.04</v>
      </c>
      <c r="H189" s="37">
        <v>0.54</v>
      </c>
      <c r="I189" s="37">
        <v>0.1</v>
      </c>
      <c r="J189" s="37">
        <v>-0.83</v>
      </c>
      <c r="K189" s="34"/>
      <c r="L189" s="35" t="s">
        <v>54</v>
      </c>
      <c r="Q189" s="34"/>
      <c r="R189" s="34"/>
      <c r="S189" s="34"/>
      <c r="T189" s="34"/>
      <c r="U189" s="34"/>
      <c r="V189" s="34"/>
      <c r="W189" s="34"/>
      <c r="X189" s="34"/>
    </row>
    <row r="190">
      <c r="A190" s="36">
        <v>-0.34</v>
      </c>
      <c r="B190" s="37">
        <v>-0.5</v>
      </c>
      <c r="C190" s="37">
        <v>-0.36</v>
      </c>
      <c r="D190" s="37">
        <v>-0.6</v>
      </c>
      <c r="E190" s="37">
        <v>-0.57</v>
      </c>
      <c r="F190" s="37">
        <v>1.16</v>
      </c>
      <c r="G190" s="37">
        <v>-0.28</v>
      </c>
      <c r="H190" s="37">
        <v>0.11</v>
      </c>
      <c r="I190" s="37">
        <v>1.14</v>
      </c>
      <c r="J190" s="37">
        <v>-0.43</v>
      </c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>
      <c r="A191" s="36">
        <v>-0.96</v>
      </c>
      <c r="B191" s="37">
        <v>1.17</v>
      </c>
      <c r="C191" s="37">
        <v>1.56</v>
      </c>
      <c r="D191" s="37">
        <v>-0.22</v>
      </c>
      <c r="E191" s="37">
        <v>-0.56</v>
      </c>
      <c r="F191" s="37">
        <v>-0.71</v>
      </c>
      <c r="G191" s="37">
        <v>-0.84</v>
      </c>
      <c r="H191" s="37">
        <v>1.37</v>
      </c>
      <c r="I191" s="37">
        <v>1.15</v>
      </c>
      <c r="J191" s="37">
        <v>-0.45</v>
      </c>
      <c r="K191" s="34"/>
      <c r="L191" s="34"/>
      <c r="M191" s="38">
        <v>2819.92</v>
      </c>
      <c r="N191" s="39">
        <v>-370.541</v>
      </c>
      <c r="O191" s="39">
        <v>681.1974</v>
      </c>
      <c r="P191" s="40">
        <v>1025.892</v>
      </c>
      <c r="Q191" s="34"/>
      <c r="R191" s="34"/>
      <c r="S191" s="34"/>
      <c r="T191" s="34"/>
      <c r="U191" s="34"/>
      <c r="V191" s="34"/>
      <c r="W191" s="34"/>
      <c r="X191" s="34"/>
    </row>
    <row r="192">
      <c r="A192" s="36">
        <v>-0.85</v>
      </c>
      <c r="B192" s="37">
        <v>1.65</v>
      </c>
      <c r="C192" s="37">
        <v>1.37</v>
      </c>
      <c r="D192" s="37">
        <v>-0.43</v>
      </c>
      <c r="E192" s="37">
        <v>-0.32</v>
      </c>
      <c r="F192" s="37">
        <v>-0.63</v>
      </c>
      <c r="G192" s="37">
        <v>-1.6</v>
      </c>
      <c r="H192" s="37">
        <v>0.17</v>
      </c>
      <c r="I192" s="37">
        <v>1.06</v>
      </c>
      <c r="J192" s="37">
        <v>-0.44</v>
      </c>
      <c r="K192" s="34"/>
      <c r="L192" s="34"/>
      <c r="M192" s="41">
        <v>-370.541</v>
      </c>
      <c r="N192" s="42">
        <v>1020.769</v>
      </c>
      <c r="O192" s="42">
        <v>-606.715</v>
      </c>
      <c r="P192" s="43">
        <v>142.0604</v>
      </c>
      <c r="Q192" s="34"/>
      <c r="R192" s="34"/>
      <c r="S192" s="34"/>
      <c r="T192" s="34"/>
      <c r="U192" s="34"/>
      <c r="V192" s="34"/>
      <c r="W192" s="34"/>
      <c r="X192" s="34"/>
    </row>
    <row r="193">
      <c r="A193" s="36">
        <v>1.54</v>
      </c>
      <c r="B193" s="37">
        <v>-1.0</v>
      </c>
      <c r="C193" s="37">
        <v>-0.83</v>
      </c>
      <c r="D193" s="37">
        <v>-0.41</v>
      </c>
      <c r="E193" s="37">
        <v>-0.84</v>
      </c>
      <c r="F193" s="37">
        <v>-0.48</v>
      </c>
      <c r="G193" s="37">
        <v>-0.01</v>
      </c>
      <c r="H193" s="37">
        <v>-1.7</v>
      </c>
      <c r="I193" s="37">
        <v>-1.54</v>
      </c>
      <c r="J193" s="37">
        <v>2.01</v>
      </c>
      <c r="K193" s="34"/>
      <c r="L193" s="34"/>
      <c r="M193" s="41">
        <v>681.1974</v>
      </c>
      <c r="N193" s="42">
        <v>-606.715</v>
      </c>
      <c r="O193" s="42">
        <v>3454.881</v>
      </c>
      <c r="P193" s="43">
        <v>395.9682</v>
      </c>
      <c r="Q193" s="34"/>
      <c r="R193" s="34"/>
      <c r="S193" s="34"/>
      <c r="T193" s="34"/>
      <c r="U193" s="34"/>
      <c r="V193" s="34"/>
      <c r="W193" s="34"/>
      <c r="X193" s="34"/>
    </row>
    <row r="194">
      <c r="A194" s="36">
        <v>1.45</v>
      </c>
      <c r="B194" s="37">
        <v>-1.01</v>
      </c>
      <c r="C194" s="37">
        <v>-0.94</v>
      </c>
      <c r="D194" s="37">
        <v>-0.8</v>
      </c>
      <c r="E194" s="37">
        <v>-0.66</v>
      </c>
      <c r="F194" s="37">
        <v>-0.29</v>
      </c>
      <c r="G194" s="37">
        <v>0.81</v>
      </c>
      <c r="H194" s="37">
        <v>-1.34</v>
      </c>
      <c r="I194" s="37">
        <v>-1.8</v>
      </c>
      <c r="J194" s="37">
        <v>1.42</v>
      </c>
      <c r="K194" s="34"/>
      <c r="L194" s="34"/>
      <c r="M194" s="44">
        <v>1025.892</v>
      </c>
      <c r="N194" s="45">
        <v>142.0604</v>
      </c>
      <c r="O194" s="45">
        <v>395.9682</v>
      </c>
      <c r="P194" s="46">
        <v>513.0181</v>
      </c>
      <c r="Q194" s="34"/>
      <c r="R194" s="34"/>
      <c r="S194" s="34"/>
      <c r="T194" s="34"/>
      <c r="U194" s="34"/>
      <c r="V194" s="34"/>
      <c r="W194" s="34"/>
      <c r="X194" s="34"/>
    </row>
    <row r="195">
      <c r="A195" s="36">
        <v>-0.21</v>
      </c>
      <c r="B195" s="37">
        <v>0.4</v>
      </c>
      <c r="C195" s="37">
        <v>-0.22</v>
      </c>
      <c r="D195" s="37">
        <v>-0.69</v>
      </c>
      <c r="E195" s="37">
        <v>-0.68</v>
      </c>
      <c r="F195" s="37">
        <v>1.07</v>
      </c>
      <c r="G195" s="37">
        <v>1.09</v>
      </c>
      <c r="H195" s="37">
        <v>0.47</v>
      </c>
      <c r="I195" s="37">
        <v>0.64</v>
      </c>
      <c r="J195" s="37">
        <v>-0.79</v>
      </c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>
      <c r="A196" s="36">
        <v>-0.2</v>
      </c>
      <c r="B196" s="37">
        <v>-0.29</v>
      </c>
      <c r="C196" s="37">
        <v>-0.58</v>
      </c>
      <c r="D196" s="37">
        <v>2.57</v>
      </c>
      <c r="E196" s="37">
        <v>1.28</v>
      </c>
      <c r="F196" s="37">
        <v>-0.5</v>
      </c>
      <c r="G196" s="37">
        <v>0.45</v>
      </c>
      <c r="H196" s="37">
        <v>-0.11</v>
      </c>
      <c r="I196" s="37">
        <v>0.03</v>
      </c>
      <c r="J196" s="37">
        <v>-0.38</v>
      </c>
      <c r="K196" s="34"/>
      <c r="L196" s="34"/>
      <c r="M196" s="42">
        <v>1.0</v>
      </c>
      <c r="N196" s="42">
        <v>2.0</v>
      </c>
      <c r="O196" s="42">
        <v>3.0</v>
      </c>
      <c r="P196" s="42">
        <v>4.0</v>
      </c>
      <c r="Q196" s="34"/>
      <c r="R196" s="34"/>
      <c r="S196" s="34"/>
      <c r="T196" s="34"/>
      <c r="U196" s="34"/>
      <c r="V196" s="34"/>
      <c r="W196" s="34"/>
      <c r="X196" s="34"/>
    </row>
    <row r="197">
      <c r="A197" s="36">
        <v>-0.14</v>
      </c>
      <c r="B197" s="37">
        <v>0.22</v>
      </c>
      <c r="C197" s="37">
        <v>-0.85</v>
      </c>
      <c r="D197" s="37">
        <v>2.4</v>
      </c>
      <c r="E197" s="37">
        <v>1.35</v>
      </c>
      <c r="F197" s="37">
        <v>-0.61</v>
      </c>
      <c r="G197" s="37">
        <v>-0.5</v>
      </c>
      <c r="H197" s="37">
        <v>0.14</v>
      </c>
      <c r="I197" s="37">
        <v>-0.57</v>
      </c>
      <c r="J197" s="37">
        <v>0.11</v>
      </c>
      <c r="K197" s="34"/>
      <c r="L197" s="35" t="s">
        <v>19</v>
      </c>
      <c r="M197" s="38">
        <v>-0.16973</v>
      </c>
      <c r="N197" s="39">
        <v>-0.04266</v>
      </c>
      <c r="O197" s="39">
        <v>-0.01189</v>
      </c>
      <c r="P197" s="40">
        <v>0.075195</v>
      </c>
      <c r="Q197" s="34"/>
      <c r="R197" s="34"/>
      <c r="S197" s="34"/>
      <c r="T197" s="34"/>
      <c r="U197" s="34"/>
      <c r="V197" s="34"/>
      <c r="W197" s="34"/>
      <c r="X197" s="34"/>
    </row>
    <row r="198">
      <c r="A198" s="36">
        <v>0.25</v>
      </c>
      <c r="B198" s="37">
        <v>-0.65</v>
      </c>
      <c r="C198" s="37">
        <v>-0.45</v>
      </c>
      <c r="D198" s="37">
        <v>-0.62</v>
      </c>
      <c r="E198" s="37">
        <v>-0.45</v>
      </c>
      <c r="F198" s="37">
        <v>1.55</v>
      </c>
      <c r="G198" s="37">
        <v>0.85</v>
      </c>
      <c r="H198" s="37">
        <v>0.48</v>
      </c>
      <c r="I198" s="37">
        <v>0.93</v>
      </c>
      <c r="J198" s="37">
        <v>-0.84</v>
      </c>
      <c r="K198" s="34"/>
      <c r="L198" s="35" t="s">
        <v>20</v>
      </c>
      <c r="M198" s="41">
        <v>0.216237</v>
      </c>
      <c r="N198" s="42">
        <v>-0.0048</v>
      </c>
      <c r="O198" s="42">
        <v>-0.01941</v>
      </c>
      <c r="P198" s="43">
        <v>-0.24339</v>
      </c>
      <c r="Q198" s="34"/>
      <c r="R198" s="34"/>
      <c r="S198" s="34"/>
      <c r="T198" s="34"/>
      <c r="U198" s="34"/>
      <c r="V198" s="34"/>
      <c r="W198" s="34"/>
      <c r="X198" s="34"/>
    </row>
    <row r="199">
      <c r="A199" s="36">
        <v>1.87</v>
      </c>
      <c r="B199" s="37">
        <v>-1.33</v>
      </c>
      <c r="C199" s="37">
        <v>-0.91</v>
      </c>
      <c r="D199" s="37">
        <v>-0.6</v>
      </c>
      <c r="E199" s="37">
        <v>-0.38</v>
      </c>
      <c r="F199" s="37">
        <v>-0.03</v>
      </c>
      <c r="G199" s="37">
        <v>-0.13</v>
      </c>
      <c r="H199" s="37">
        <v>-1.43</v>
      </c>
      <c r="I199" s="37">
        <v>-1.84</v>
      </c>
      <c r="J199" s="37">
        <v>1.57</v>
      </c>
      <c r="K199" s="34"/>
      <c r="L199" s="35" t="s">
        <v>21</v>
      </c>
      <c r="M199" s="41">
        <v>0.270979</v>
      </c>
      <c r="N199" s="42">
        <v>-0.12602</v>
      </c>
      <c r="O199" s="42">
        <v>-0.05495</v>
      </c>
      <c r="P199" s="43">
        <v>-0.3012</v>
      </c>
      <c r="Q199" s="34"/>
      <c r="R199" s="34"/>
      <c r="S199" s="34"/>
      <c r="T199" s="34"/>
      <c r="U199" s="34"/>
      <c r="V199" s="34"/>
      <c r="W199" s="34"/>
      <c r="X199" s="34"/>
    </row>
    <row r="200">
      <c r="A200" s="36">
        <v>1.97</v>
      </c>
      <c r="B200" s="37">
        <v>-1.15</v>
      </c>
      <c r="C200" s="37">
        <v>-0.86</v>
      </c>
      <c r="D200" s="37">
        <v>-0.64</v>
      </c>
      <c r="E200" s="37">
        <v>-0.67</v>
      </c>
      <c r="F200" s="37">
        <v>-0.19</v>
      </c>
      <c r="G200" s="37">
        <v>1.29</v>
      </c>
      <c r="H200" s="37">
        <v>-1.48</v>
      </c>
      <c r="I200" s="37">
        <v>-1.59</v>
      </c>
      <c r="J200" s="37">
        <v>1.05</v>
      </c>
      <c r="K200" s="34"/>
      <c r="L200" s="35" t="s">
        <v>22</v>
      </c>
      <c r="M200" s="41">
        <v>0.058472</v>
      </c>
      <c r="N200" s="42">
        <v>0.077517</v>
      </c>
      <c r="O200" s="42">
        <v>0.507389</v>
      </c>
      <c r="P200" s="43">
        <v>-0.20332</v>
      </c>
      <c r="Q200" s="34"/>
      <c r="R200" s="34"/>
      <c r="S200" s="34"/>
      <c r="T200" s="34"/>
      <c r="U200" s="34"/>
      <c r="V200" s="34"/>
      <c r="W200" s="34"/>
      <c r="X200" s="34"/>
    </row>
    <row r="201">
      <c r="A201" s="36">
        <v>1.89</v>
      </c>
      <c r="B201" s="37">
        <v>-1.09</v>
      </c>
      <c r="C201" s="37">
        <v>-0.88</v>
      </c>
      <c r="D201" s="37">
        <v>-0.45</v>
      </c>
      <c r="E201" s="37">
        <v>-0.39</v>
      </c>
      <c r="F201" s="37">
        <v>-0.39</v>
      </c>
      <c r="G201" s="37">
        <v>-1.04</v>
      </c>
      <c r="H201" s="37">
        <v>-1.27</v>
      </c>
      <c r="I201" s="37">
        <v>-1.68</v>
      </c>
      <c r="J201" s="37">
        <v>1.65</v>
      </c>
      <c r="K201" s="34"/>
      <c r="L201" s="35" t="s">
        <v>23</v>
      </c>
      <c r="M201" s="41">
        <v>-0.00454</v>
      </c>
      <c r="N201" s="42">
        <v>0.022548</v>
      </c>
      <c r="O201" s="42">
        <v>0.512223</v>
      </c>
      <c r="P201" s="43">
        <v>-0.11592</v>
      </c>
      <c r="Q201" s="34"/>
      <c r="R201" s="34"/>
      <c r="S201" s="34"/>
      <c r="T201" s="34"/>
      <c r="U201" s="34"/>
      <c r="V201" s="34"/>
      <c r="W201" s="34"/>
      <c r="X201" s="34"/>
    </row>
    <row r="202">
      <c r="A202" s="36">
        <v>-0.94</v>
      </c>
      <c r="B202" s="37">
        <v>0.3</v>
      </c>
      <c r="C202" s="37">
        <v>-0.68</v>
      </c>
      <c r="D202" s="37">
        <v>-0.37</v>
      </c>
      <c r="E202" s="37">
        <v>-0.52</v>
      </c>
      <c r="F202" s="37">
        <v>1.18</v>
      </c>
      <c r="G202" s="37">
        <v>0.99</v>
      </c>
      <c r="H202" s="37">
        <v>0.59</v>
      </c>
      <c r="I202" s="37">
        <v>0.33</v>
      </c>
      <c r="J202" s="37">
        <v>-0.51</v>
      </c>
      <c r="K202" s="34"/>
      <c r="L202" s="35" t="s">
        <v>24</v>
      </c>
      <c r="M202" s="41">
        <v>0.0671</v>
      </c>
      <c r="N202" s="42">
        <v>0.414458</v>
      </c>
      <c r="O202" s="42">
        <v>0.004023</v>
      </c>
      <c r="P202" s="43">
        <v>-0.08682</v>
      </c>
      <c r="Q202" s="34"/>
      <c r="R202" s="34"/>
      <c r="S202" s="34"/>
      <c r="T202" s="34"/>
      <c r="U202" s="34"/>
      <c r="V202" s="34"/>
      <c r="W202" s="34"/>
      <c r="X202" s="34"/>
    </row>
    <row r="203">
      <c r="A203" s="36">
        <v>-0.66</v>
      </c>
      <c r="B203" s="37">
        <v>0.44</v>
      </c>
      <c r="C203" s="37">
        <v>2.4</v>
      </c>
      <c r="D203" s="37">
        <v>-0.3</v>
      </c>
      <c r="E203" s="37">
        <v>-0.51</v>
      </c>
      <c r="F203" s="37">
        <v>-1.18</v>
      </c>
      <c r="G203" s="37">
        <v>-1.19</v>
      </c>
      <c r="H203" s="37">
        <v>1.49</v>
      </c>
      <c r="I203" s="37">
        <v>0.95</v>
      </c>
      <c r="J203" s="37">
        <v>0.26</v>
      </c>
      <c r="K203" s="34"/>
      <c r="L203" s="35" t="s">
        <v>25</v>
      </c>
      <c r="M203" s="41">
        <v>0.219097</v>
      </c>
      <c r="N203" s="42">
        <v>0.62473</v>
      </c>
      <c r="O203" s="42">
        <v>0.089214</v>
      </c>
      <c r="P203" s="43">
        <v>-0.62619</v>
      </c>
      <c r="Q203" s="34"/>
      <c r="R203" s="34"/>
      <c r="S203" s="34"/>
      <c r="T203" s="34"/>
      <c r="U203" s="34"/>
      <c r="V203" s="34"/>
      <c r="W203" s="34"/>
      <c r="X203" s="34"/>
    </row>
    <row r="204">
      <c r="A204" s="36">
        <v>-1.17</v>
      </c>
      <c r="B204" s="37">
        <v>1.31</v>
      </c>
      <c r="C204" s="37">
        <v>0.89</v>
      </c>
      <c r="D204" s="37">
        <v>-0.26</v>
      </c>
      <c r="E204" s="37">
        <v>-0.18</v>
      </c>
      <c r="F204" s="37">
        <v>-1.0</v>
      </c>
      <c r="G204" s="37">
        <v>-1.9</v>
      </c>
      <c r="H204" s="37">
        <v>1.09</v>
      </c>
      <c r="I204" s="37">
        <v>1.15</v>
      </c>
      <c r="J204" s="37">
        <v>-0.27</v>
      </c>
      <c r="K204" s="34"/>
      <c r="L204" s="35" t="s">
        <v>26</v>
      </c>
      <c r="M204" s="41">
        <v>0.299353</v>
      </c>
      <c r="N204" s="42">
        <v>0.13733</v>
      </c>
      <c r="O204" s="42">
        <v>0.035101</v>
      </c>
      <c r="P204" s="43">
        <v>-0.40793</v>
      </c>
      <c r="Q204" s="34"/>
      <c r="R204" s="34"/>
      <c r="S204" s="34"/>
      <c r="T204" s="34"/>
      <c r="U204" s="34"/>
      <c r="V204" s="34"/>
      <c r="W204" s="34"/>
      <c r="X204" s="34"/>
    </row>
    <row r="205">
      <c r="A205" s="36">
        <v>2.18</v>
      </c>
      <c r="B205" s="37">
        <v>-1.28</v>
      </c>
      <c r="C205" s="37">
        <v>-0.74</v>
      </c>
      <c r="D205" s="37">
        <v>-0.47</v>
      </c>
      <c r="E205" s="37">
        <v>-0.86</v>
      </c>
      <c r="F205" s="37">
        <v>-0.04</v>
      </c>
      <c r="G205" s="37">
        <v>-0.24</v>
      </c>
      <c r="H205" s="37">
        <v>-1.45</v>
      </c>
      <c r="I205" s="37">
        <v>-1.39</v>
      </c>
      <c r="J205" s="37">
        <v>1.12</v>
      </c>
      <c r="K205" s="34"/>
      <c r="L205" s="35" t="s">
        <v>27</v>
      </c>
      <c r="M205" s="41">
        <v>0.288584</v>
      </c>
      <c r="N205" s="42">
        <v>0.109312</v>
      </c>
      <c r="O205" s="42">
        <v>0.033219</v>
      </c>
      <c r="P205" s="43">
        <v>-0.32537</v>
      </c>
      <c r="Q205" s="34"/>
      <c r="R205" s="34"/>
      <c r="S205" s="34"/>
      <c r="T205" s="34"/>
      <c r="U205" s="34"/>
      <c r="V205" s="34"/>
      <c r="W205" s="34"/>
      <c r="X205" s="34"/>
    </row>
    <row r="206">
      <c r="A206" s="36">
        <v>-0.56</v>
      </c>
      <c r="B206" s="37">
        <v>-0.06</v>
      </c>
      <c r="C206" s="37">
        <v>-0.66</v>
      </c>
      <c r="D206" s="37">
        <v>-0.7</v>
      </c>
      <c r="E206" s="37">
        <v>-0.4</v>
      </c>
      <c r="F206" s="37">
        <v>1.11</v>
      </c>
      <c r="G206" s="37">
        <v>1.62</v>
      </c>
      <c r="H206" s="37">
        <v>0.47</v>
      </c>
      <c r="I206" s="37">
        <v>-0.32</v>
      </c>
      <c r="J206" s="37">
        <v>-1.04</v>
      </c>
      <c r="K206" s="34"/>
      <c r="L206" s="35" t="s">
        <v>28</v>
      </c>
      <c r="M206" s="44">
        <v>0.088071</v>
      </c>
      <c r="N206" s="45">
        <v>0.10857</v>
      </c>
      <c r="O206" s="45">
        <v>0.063358</v>
      </c>
      <c r="P206" s="46">
        <v>-1.58533</v>
      </c>
      <c r="Q206" s="34"/>
      <c r="R206" s="34"/>
      <c r="S206" s="34"/>
      <c r="T206" s="34"/>
      <c r="U206" s="34"/>
      <c r="V206" s="34"/>
      <c r="W206" s="34"/>
      <c r="X206" s="34"/>
    </row>
    <row r="207">
      <c r="A207" s="36">
        <v>-0.77</v>
      </c>
      <c r="B207" s="37">
        <v>0.77</v>
      </c>
      <c r="C207" s="37">
        <v>1.31</v>
      </c>
      <c r="D207" s="37">
        <v>-0.24</v>
      </c>
      <c r="E207" s="37">
        <v>-0.2</v>
      </c>
      <c r="F207" s="37">
        <v>-0.97</v>
      </c>
      <c r="G207" s="37">
        <v>-1.35</v>
      </c>
      <c r="H207" s="37">
        <v>1.76</v>
      </c>
      <c r="I207" s="37">
        <v>1.62</v>
      </c>
      <c r="J207" s="37">
        <v>0.0</v>
      </c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>
      <c r="A208" s="36">
        <v>-0.94</v>
      </c>
      <c r="B208" s="37">
        <v>0.87</v>
      </c>
      <c r="C208" s="37">
        <v>1.12</v>
      </c>
      <c r="D208" s="37">
        <v>-0.23</v>
      </c>
      <c r="E208" s="37">
        <v>-0.27</v>
      </c>
      <c r="F208" s="37">
        <v>-0.66</v>
      </c>
      <c r="G208" s="37">
        <v>-0.87</v>
      </c>
      <c r="H208" s="37">
        <v>0.16</v>
      </c>
      <c r="I208" s="37">
        <v>1.37</v>
      </c>
      <c r="J208" s="37">
        <v>-0.93</v>
      </c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>
      <c r="A209" s="36">
        <v>-0.47</v>
      </c>
      <c r="B209" s="37">
        <v>0.03</v>
      </c>
      <c r="C209" s="37">
        <v>-0.16</v>
      </c>
      <c r="D209" s="37">
        <v>0.06</v>
      </c>
      <c r="E209" s="37">
        <v>-0.42</v>
      </c>
      <c r="F209" s="37">
        <v>1.47</v>
      </c>
      <c r="G209" s="37">
        <v>1.54</v>
      </c>
      <c r="H209" s="37">
        <v>0.7</v>
      </c>
      <c r="I209" s="37">
        <v>0.17</v>
      </c>
      <c r="J209" s="37">
        <v>-0.01</v>
      </c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>
      <c r="A210" s="36">
        <v>-0.92</v>
      </c>
      <c r="B210" s="37">
        <v>1.6</v>
      </c>
      <c r="C210" s="37">
        <v>1.9</v>
      </c>
      <c r="D210" s="37">
        <v>-0.25</v>
      </c>
      <c r="E210" s="37">
        <v>-0.19</v>
      </c>
      <c r="F210" s="37">
        <v>-1.04</v>
      </c>
      <c r="G210" s="37">
        <v>-1.34</v>
      </c>
      <c r="H210" s="37">
        <v>0.38</v>
      </c>
      <c r="I210" s="37">
        <v>1.15</v>
      </c>
      <c r="J210" s="37">
        <v>-0.09</v>
      </c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>
      <c r="A211" s="36">
        <v>-0.89</v>
      </c>
      <c r="B211" s="37">
        <v>2.25</v>
      </c>
      <c r="C211" s="37">
        <v>1.55</v>
      </c>
      <c r="D211" s="37">
        <v>-0.2</v>
      </c>
      <c r="E211" s="37">
        <v>-0.54</v>
      </c>
      <c r="F211" s="37">
        <v>-1.0</v>
      </c>
      <c r="G211" s="37">
        <v>-0.85</v>
      </c>
      <c r="H211" s="37">
        <v>1.45</v>
      </c>
      <c r="I211" s="37">
        <v>0.89</v>
      </c>
      <c r="J211" s="37">
        <v>-0.49</v>
      </c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>
      <c r="A212" s="36">
        <v>-0.81</v>
      </c>
      <c r="B212" s="37">
        <v>-0.23</v>
      </c>
      <c r="C212" s="37">
        <v>-0.34</v>
      </c>
      <c r="D212" s="37">
        <v>-0.4</v>
      </c>
      <c r="E212" s="37">
        <v>-0.43</v>
      </c>
      <c r="F212" s="37">
        <v>1.56</v>
      </c>
      <c r="G212" s="37">
        <v>1.23</v>
      </c>
      <c r="H212" s="37">
        <v>-0.15</v>
      </c>
      <c r="I212" s="37">
        <v>0.54</v>
      </c>
      <c r="J212" s="37">
        <v>-0.58</v>
      </c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>
      <c r="A213" s="36">
        <v>-0.21</v>
      </c>
      <c r="B213" s="37">
        <v>-0.3</v>
      </c>
      <c r="C213" s="37">
        <v>-0.84</v>
      </c>
      <c r="D213" s="37">
        <v>-0.31</v>
      </c>
      <c r="E213" s="37">
        <v>-0.62</v>
      </c>
      <c r="F213" s="37">
        <v>1.21</v>
      </c>
      <c r="G213" s="37">
        <v>1.64</v>
      </c>
      <c r="H213" s="37">
        <v>0.0</v>
      </c>
      <c r="I213" s="37">
        <v>0.66</v>
      </c>
      <c r="J213" s="37">
        <v>-0.5</v>
      </c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>
      <c r="A214" s="36">
        <v>-0.15</v>
      </c>
      <c r="B214" s="37">
        <v>-0.65</v>
      </c>
      <c r="C214" s="37">
        <v>-0.28</v>
      </c>
      <c r="D214" s="37">
        <v>-0.46</v>
      </c>
      <c r="E214" s="37">
        <v>-0.6</v>
      </c>
      <c r="F214" s="37">
        <v>1.6</v>
      </c>
      <c r="G214" s="37">
        <v>0.19</v>
      </c>
      <c r="H214" s="37">
        <v>0.44</v>
      </c>
      <c r="I214" s="37">
        <v>-0.08</v>
      </c>
      <c r="J214" s="37">
        <v>-1.32</v>
      </c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>
      <c r="A215" s="36">
        <v>-1.18</v>
      </c>
      <c r="B215" s="37">
        <v>1.94</v>
      </c>
      <c r="C215" s="37">
        <v>1.22</v>
      </c>
      <c r="D215" s="37">
        <v>-0.05</v>
      </c>
      <c r="E215" s="37">
        <v>-0.44</v>
      </c>
      <c r="F215" s="37">
        <v>-1.25</v>
      </c>
      <c r="G215" s="37">
        <v>-1.56</v>
      </c>
      <c r="H215" s="37">
        <v>1.66</v>
      </c>
      <c r="I215" s="37">
        <v>0.94</v>
      </c>
      <c r="J215" s="37">
        <v>-0.72</v>
      </c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>
      <c r="A216" s="36">
        <v>-0.31</v>
      </c>
      <c r="B216" s="37">
        <v>0.13</v>
      </c>
      <c r="C216" s="37">
        <v>-0.3</v>
      </c>
      <c r="D216" s="37">
        <v>-0.24</v>
      </c>
      <c r="E216" s="37">
        <v>-0.59</v>
      </c>
      <c r="F216" s="37">
        <v>1.04</v>
      </c>
      <c r="G216" s="37">
        <v>0.99</v>
      </c>
      <c r="H216" s="37">
        <v>0.35</v>
      </c>
      <c r="I216" s="37">
        <v>-0.05</v>
      </c>
      <c r="J216" s="37">
        <v>-1.16</v>
      </c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>
      <c r="A217" s="36">
        <v>-0.9</v>
      </c>
      <c r="B217" s="37">
        <v>1.29</v>
      </c>
      <c r="C217" s="37">
        <v>1.57</v>
      </c>
      <c r="D217" s="37">
        <v>-0.46</v>
      </c>
      <c r="E217" s="37">
        <v>-0.39</v>
      </c>
      <c r="F217" s="37">
        <v>-1.1</v>
      </c>
      <c r="G217" s="37">
        <v>-0.77</v>
      </c>
      <c r="H217" s="37">
        <v>1.55</v>
      </c>
      <c r="I217" s="37">
        <v>0.34</v>
      </c>
      <c r="J217" s="37">
        <v>-0.9</v>
      </c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>
      <c r="A218" s="36">
        <v>-0.73</v>
      </c>
      <c r="B218" s="37">
        <v>-0.63</v>
      </c>
      <c r="C218" s="37">
        <v>-0.43</v>
      </c>
      <c r="D218" s="37">
        <v>1.32</v>
      </c>
      <c r="E218" s="37">
        <v>1.54</v>
      </c>
      <c r="F218" s="37">
        <v>-0.81</v>
      </c>
      <c r="G218" s="37">
        <v>-0.26</v>
      </c>
      <c r="H218" s="37">
        <v>-0.09</v>
      </c>
      <c r="I218" s="37">
        <v>-0.2</v>
      </c>
      <c r="J218" s="37">
        <v>-0.06</v>
      </c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>
      <c r="A219" s="36">
        <v>-0.52</v>
      </c>
      <c r="B219" s="37">
        <v>-0.19</v>
      </c>
      <c r="C219" s="37">
        <v>-0.21</v>
      </c>
      <c r="D219" s="37">
        <v>-0.26</v>
      </c>
      <c r="E219" s="37">
        <v>-0.77</v>
      </c>
      <c r="F219" s="37">
        <v>1.86</v>
      </c>
      <c r="G219" s="37">
        <v>1.7</v>
      </c>
      <c r="H219" s="37">
        <v>-0.42</v>
      </c>
      <c r="I219" s="37">
        <v>0.58</v>
      </c>
      <c r="J219" s="37">
        <v>-0.12</v>
      </c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>
      <c r="A220" s="36">
        <v>-0.69</v>
      </c>
      <c r="B220" s="37">
        <v>-0.46</v>
      </c>
      <c r="C220" s="37">
        <v>-0.32</v>
      </c>
      <c r="D220" s="37">
        <v>-0.45</v>
      </c>
      <c r="E220" s="37">
        <v>-0.43</v>
      </c>
      <c r="F220" s="37">
        <v>1.67</v>
      </c>
      <c r="G220" s="37">
        <v>1.46</v>
      </c>
      <c r="H220" s="37">
        <v>-0.52</v>
      </c>
      <c r="I220" s="37">
        <v>0.66</v>
      </c>
      <c r="J220" s="37">
        <v>-0.27</v>
      </c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>
      <c r="A221" s="36">
        <v>1.3</v>
      </c>
      <c r="B221" s="37">
        <v>-1.06</v>
      </c>
      <c r="C221" s="37">
        <v>-0.96</v>
      </c>
      <c r="D221" s="37">
        <v>-0.59</v>
      </c>
      <c r="E221" s="37">
        <v>-0.52</v>
      </c>
      <c r="F221" s="37">
        <v>-0.19</v>
      </c>
      <c r="G221" s="37">
        <v>0.71</v>
      </c>
      <c r="H221" s="37">
        <v>-1.49</v>
      </c>
      <c r="I221" s="37">
        <v>-1.33</v>
      </c>
      <c r="J221" s="37">
        <v>0.9</v>
      </c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>
      <c r="A222" s="36">
        <v>-0.36</v>
      </c>
      <c r="B222" s="37">
        <v>-0.15</v>
      </c>
      <c r="C222" s="37">
        <v>-0.45</v>
      </c>
      <c r="D222" s="37">
        <v>-0.57</v>
      </c>
      <c r="E222" s="37">
        <v>-0.55</v>
      </c>
      <c r="F222" s="37">
        <v>1.86</v>
      </c>
      <c r="G222" s="37">
        <v>0.97</v>
      </c>
      <c r="H222" s="37">
        <v>-0.67</v>
      </c>
      <c r="I222" s="37">
        <v>0.91</v>
      </c>
      <c r="J222" s="37">
        <v>-0.18</v>
      </c>
      <c r="K222" s="34"/>
      <c r="L222" s="61" t="s">
        <v>55</v>
      </c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>
      <c r="A223" s="36">
        <v>-0.74</v>
      </c>
      <c r="B223" s="37">
        <v>0.21</v>
      </c>
      <c r="C223" s="37">
        <v>-0.57</v>
      </c>
      <c r="D223" s="37">
        <v>-0.46</v>
      </c>
      <c r="E223" s="37">
        <v>-0.47</v>
      </c>
      <c r="F223" s="37">
        <v>1.45</v>
      </c>
      <c r="G223" s="37">
        <v>0.77</v>
      </c>
      <c r="H223" s="37">
        <v>-0.17</v>
      </c>
      <c r="I223" s="37">
        <v>-0.04</v>
      </c>
      <c r="J223" s="37">
        <v>-1.1</v>
      </c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>
      <c r="A224" s="36">
        <v>-0.96</v>
      </c>
      <c r="B224" s="37">
        <v>0.92</v>
      </c>
      <c r="C224" s="37">
        <v>1.91</v>
      </c>
      <c r="D224" s="37">
        <v>-0.05</v>
      </c>
      <c r="E224" s="37">
        <v>-0.45</v>
      </c>
      <c r="F224" s="37">
        <v>-0.88</v>
      </c>
      <c r="G224" s="37">
        <v>-0.92</v>
      </c>
      <c r="H224" s="37">
        <v>1.24</v>
      </c>
      <c r="I224" s="37">
        <v>1.03</v>
      </c>
      <c r="J224" s="37">
        <v>-0.11</v>
      </c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>
      <c r="A225" s="36">
        <v>0.16</v>
      </c>
      <c r="B225" s="37">
        <v>-0.88</v>
      </c>
      <c r="C225" s="37">
        <v>-0.25</v>
      </c>
      <c r="D225" s="37">
        <v>2.17</v>
      </c>
      <c r="E225" s="37">
        <v>1.6</v>
      </c>
      <c r="F225" s="37">
        <v>-0.53</v>
      </c>
      <c r="G225" s="37">
        <v>-0.07</v>
      </c>
      <c r="H225" s="37">
        <v>-0.21</v>
      </c>
      <c r="I225" s="37">
        <v>0.57</v>
      </c>
      <c r="J225" s="37">
        <v>1.24</v>
      </c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>
      <c r="A226" s="36">
        <v>-0.41</v>
      </c>
      <c r="B226" s="37">
        <v>-0.94</v>
      </c>
      <c r="C226" s="37">
        <v>-0.36</v>
      </c>
      <c r="D226" s="37">
        <v>2.11</v>
      </c>
      <c r="E226" s="37">
        <v>1.79</v>
      </c>
      <c r="F226" s="37">
        <v>-0.16</v>
      </c>
      <c r="G226" s="37">
        <v>-0.86</v>
      </c>
      <c r="H226" s="37">
        <v>0.19</v>
      </c>
      <c r="I226" s="37">
        <v>-0.15</v>
      </c>
      <c r="J226" s="37">
        <v>0.86</v>
      </c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>
      <c r="A227" s="36">
        <v>-0.66</v>
      </c>
      <c r="B227" s="37">
        <v>0.89</v>
      </c>
      <c r="C227" s="37">
        <v>1.26</v>
      </c>
      <c r="D227" s="37">
        <v>-0.17</v>
      </c>
      <c r="E227" s="37">
        <v>-0.41</v>
      </c>
      <c r="F227" s="37">
        <v>-0.93</v>
      </c>
      <c r="G227" s="37">
        <v>-1.11</v>
      </c>
      <c r="H227" s="37">
        <v>-0.07</v>
      </c>
      <c r="I227" s="37">
        <v>0.99</v>
      </c>
      <c r="J227" s="37">
        <v>-0.79</v>
      </c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>
      <c r="A228" s="36">
        <v>1.15</v>
      </c>
      <c r="B228" s="37">
        <v>-0.75</v>
      </c>
      <c r="C228" s="37">
        <v>-0.94</v>
      </c>
      <c r="D228" s="37">
        <v>-0.54</v>
      </c>
      <c r="E228" s="37">
        <v>-0.64</v>
      </c>
      <c r="F228" s="37">
        <v>-0.27</v>
      </c>
      <c r="G228" s="37">
        <v>0.52</v>
      </c>
      <c r="H228" s="37">
        <v>-1.38</v>
      </c>
      <c r="I228" s="37">
        <v>-1.32</v>
      </c>
      <c r="J228" s="37">
        <v>1.72</v>
      </c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>
      <c r="A229" s="36">
        <v>-0.2</v>
      </c>
      <c r="B229" s="37">
        <v>-0.61</v>
      </c>
      <c r="C229" s="37">
        <v>-0.63</v>
      </c>
      <c r="D229" s="37">
        <v>1.55</v>
      </c>
      <c r="E229" s="37">
        <v>2.8</v>
      </c>
      <c r="F229" s="37">
        <v>-0.21</v>
      </c>
      <c r="G229" s="37">
        <v>-0.87</v>
      </c>
      <c r="H229" s="37">
        <v>-0.7</v>
      </c>
      <c r="I229" s="37">
        <v>0.32</v>
      </c>
      <c r="J229" s="37">
        <v>0.16</v>
      </c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>
      <c r="A230" s="36">
        <v>1.77</v>
      </c>
      <c r="B230" s="37">
        <v>-1.11</v>
      </c>
      <c r="C230" s="37">
        <v>-0.82</v>
      </c>
      <c r="D230" s="37">
        <v>-0.62</v>
      </c>
      <c r="E230" s="37">
        <v>-0.59</v>
      </c>
      <c r="F230" s="37">
        <v>-1.01</v>
      </c>
      <c r="G230" s="37">
        <v>-0.08</v>
      </c>
      <c r="H230" s="37">
        <v>-1.57</v>
      </c>
      <c r="I230" s="37">
        <v>-1.44</v>
      </c>
      <c r="J230" s="37">
        <v>2.56</v>
      </c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>
      <c r="A231" s="36">
        <v>-0.25</v>
      </c>
      <c r="B231" s="37">
        <v>-0.21</v>
      </c>
      <c r="C231" s="37">
        <v>-0.33</v>
      </c>
      <c r="D231" s="37">
        <v>-0.42</v>
      </c>
      <c r="E231" s="37">
        <v>-0.45</v>
      </c>
      <c r="F231" s="37">
        <v>1.77</v>
      </c>
      <c r="G231" s="37">
        <v>2.44</v>
      </c>
      <c r="H231" s="37">
        <v>-0.41</v>
      </c>
      <c r="I231" s="37">
        <v>0.46</v>
      </c>
      <c r="J231" s="37">
        <v>-1.14</v>
      </c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>
      <c r="A232" s="36">
        <v>1.77</v>
      </c>
      <c r="B232" s="37">
        <v>-1.25</v>
      </c>
      <c r="C232" s="37">
        <v>-0.85</v>
      </c>
      <c r="D232" s="37">
        <v>-0.74</v>
      </c>
      <c r="E232" s="37">
        <v>-0.46</v>
      </c>
      <c r="F232" s="37">
        <v>0.18</v>
      </c>
      <c r="G232" s="37">
        <v>-0.68</v>
      </c>
      <c r="H232" s="37">
        <v>-1.43</v>
      </c>
      <c r="I232" s="37">
        <v>-1.69</v>
      </c>
      <c r="J232" s="37">
        <v>0.8</v>
      </c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>
      <c r="A233" s="36">
        <v>-0.42</v>
      </c>
      <c r="B233" s="37">
        <v>-0.21</v>
      </c>
      <c r="C233" s="37">
        <v>-0.09</v>
      </c>
      <c r="D233" s="37">
        <v>-0.43</v>
      </c>
      <c r="E233" s="37">
        <v>-0.78</v>
      </c>
      <c r="F233" s="37">
        <v>1.33</v>
      </c>
      <c r="G233" s="37">
        <v>1.83</v>
      </c>
      <c r="H233" s="37">
        <v>1.36</v>
      </c>
      <c r="I233" s="37">
        <v>-0.27</v>
      </c>
      <c r="J233" s="37">
        <v>-1.47</v>
      </c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>
      <c r="A234" s="36">
        <v>0.2</v>
      </c>
      <c r="B234" s="37">
        <v>0.09</v>
      </c>
      <c r="C234" s="37">
        <v>-0.63</v>
      </c>
      <c r="D234" s="37">
        <v>-0.41</v>
      </c>
      <c r="E234" s="37">
        <v>-0.9</v>
      </c>
      <c r="F234" s="37">
        <v>1.54</v>
      </c>
      <c r="G234" s="37">
        <v>1.42</v>
      </c>
      <c r="H234" s="37">
        <v>0.72</v>
      </c>
      <c r="I234" s="37">
        <v>-0.07</v>
      </c>
      <c r="J234" s="37">
        <v>-0.72</v>
      </c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>
      <c r="A235" s="36">
        <v>-0.47</v>
      </c>
      <c r="B235" s="37">
        <v>-0.25</v>
      </c>
      <c r="C235" s="37">
        <v>-0.59</v>
      </c>
      <c r="D235" s="37">
        <v>1.7</v>
      </c>
      <c r="E235" s="37">
        <v>1.51</v>
      </c>
      <c r="F235" s="37">
        <v>-0.37</v>
      </c>
      <c r="G235" s="37">
        <v>0.0</v>
      </c>
      <c r="H235" s="37">
        <v>-0.22</v>
      </c>
      <c r="I235" s="37">
        <v>0.13</v>
      </c>
      <c r="J235" s="37">
        <v>-1.02</v>
      </c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>
      <c r="A236" s="36">
        <v>-1.0</v>
      </c>
      <c r="B236" s="37">
        <v>1.29</v>
      </c>
      <c r="C236" s="37">
        <v>2.93</v>
      </c>
      <c r="D236" s="37">
        <v>-0.52</v>
      </c>
      <c r="E236" s="37">
        <v>-0.07</v>
      </c>
      <c r="F236" s="37">
        <v>-0.73</v>
      </c>
      <c r="G236" s="37">
        <v>-1.01</v>
      </c>
      <c r="H236" s="37">
        <v>1.94</v>
      </c>
      <c r="I236" s="37">
        <v>1.13</v>
      </c>
      <c r="J236" s="37">
        <v>-0.28</v>
      </c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>
      <c r="A237" s="36">
        <v>-0.37</v>
      </c>
      <c r="B237" s="37">
        <v>0.43</v>
      </c>
      <c r="C237" s="37">
        <v>-0.3</v>
      </c>
      <c r="D237" s="37">
        <v>-0.62</v>
      </c>
      <c r="E237" s="37">
        <v>-0.77</v>
      </c>
      <c r="F237" s="37">
        <v>1.47</v>
      </c>
      <c r="G237" s="37">
        <v>0.76</v>
      </c>
      <c r="H237" s="37">
        <v>0.18</v>
      </c>
      <c r="I237" s="37">
        <v>0.73</v>
      </c>
      <c r="J237" s="37">
        <v>-0.95</v>
      </c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>
      <c r="A238" s="36">
        <v>-0.08</v>
      </c>
      <c r="B238" s="37">
        <v>-0.33</v>
      </c>
      <c r="C238" s="37">
        <v>-0.25</v>
      </c>
      <c r="D238" s="37">
        <v>1.03</v>
      </c>
      <c r="E238" s="37">
        <v>1.65</v>
      </c>
      <c r="F238" s="37">
        <v>-0.49</v>
      </c>
      <c r="G238" s="37">
        <v>0.13</v>
      </c>
      <c r="H238" s="37">
        <v>-0.33</v>
      </c>
      <c r="I238" s="37">
        <v>-0.69</v>
      </c>
      <c r="J238" s="37">
        <v>0.2</v>
      </c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>
      <c r="A239" s="36">
        <v>-1.05</v>
      </c>
      <c r="B239" s="37">
        <v>0.65</v>
      </c>
      <c r="C239" s="37">
        <v>1.22</v>
      </c>
      <c r="D239" s="37">
        <v>-0.36</v>
      </c>
      <c r="E239" s="37">
        <v>-0.45</v>
      </c>
      <c r="F239" s="37">
        <v>-1.3</v>
      </c>
      <c r="G239" s="37">
        <v>-0.77</v>
      </c>
      <c r="H239" s="37">
        <v>1.68</v>
      </c>
      <c r="I239" s="37">
        <v>1.23</v>
      </c>
      <c r="J239" s="37">
        <v>-1.0</v>
      </c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>
      <c r="A240" s="36">
        <v>-0.42</v>
      </c>
      <c r="B240" s="37">
        <v>-0.08</v>
      </c>
      <c r="C240" s="37">
        <v>-0.39</v>
      </c>
      <c r="D240" s="37">
        <v>-0.38</v>
      </c>
      <c r="E240" s="37">
        <v>-0.66</v>
      </c>
      <c r="F240" s="37">
        <v>1.57</v>
      </c>
      <c r="G240" s="37">
        <v>1.5</v>
      </c>
      <c r="H240" s="37">
        <v>1.01</v>
      </c>
      <c r="I240" s="37">
        <v>0.54</v>
      </c>
      <c r="J240" s="37">
        <v>-0.43</v>
      </c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>
      <c r="A241" s="36">
        <v>-0.94</v>
      </c>
      <c r="B241" s="37">
        <v>2.11</v>
      </c>
      <c r="C241" s="37">
        <v>1.77</v>
      </c>
      <c r="D241" s="37">
        <v>-0.48</v>
      </c>
      <c r="E241" s="37">
        <v>-0.08</v>
      </c>
      <c r="F241" s="37">
        <v>-0.79</v>
      </c>
      <c r="G241" s="37">
        <v>-1.29</v>
      </c>
      <c r="H241" s="37">
        <v>0.72</v>
      </c>
      <c r="I241" s="37">
        <v>1.1</v>
      </c>
      <c r="J241" s="37">
        <v>-0.24</v>
      </c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>
      <c r="A242" s="36">
        <v>1.56</v>
      </c>
      <c r="B242" s="37">
        <v>-0.99</v>
      </c>
      <c r="C242" s="37">
        <v>-0.64</v>
      </c>
      <c r="D242" s="37">
        <v>-0.49</v>
      </c>
      <c r="E242" s="37">
        <v>-0.57</v>
      </c>
      <c r="F242" s="37">
        <v>0.19</v>
      </c>
      <c r="G242" s="37">
        <v>-0.55</v>
      </c>
      <c r="H242" s="37">
        <v>-1.37</v>
      </c>
      <c r="I242" s="37">
        <v>-0.97</v>
      </c>
      <c r="J242" s="37">
        <v>1.23</v>
      </c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>
      <c r="A243" s="36">
        <v>0.93</v>
      </c>
      <c r="B243" s="37">
        <v>-1.19</v>
      </c>
      <c r="C243" s="37">
        <v>-0.92</v>
      </c>
      <c r="D243" s="37">
        <v>-0.83</v>
      </c>
      <c r="E243" s="37">
        <v>-0.66</v>
      </c>
      <c r="F243" s="37">
        <v>-0.7</v>
      </c>
      <c r="G243" s="37">
        <v>0.06</v>
      </c>
      <c r="H243" s="37">
        <v>-1.29</v>
      </c>
      <c r="I243" s="37">
        <v>-1.74</v>
      </c>
      <c r="J243" s="37">
        <v>1.95</v>
      </c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>
      <c r="A244" s="36">
        <v>1.75</v>
      </c>
      <c r="B244" s="37">
        <v>-0.84</v>
      </c>
      <c r="C244" s="37">
        <v>-0.88</v>
      </c>
      <c r="D244" s="37">
        <v>-0.53</v>
      </c>
      <c r="E244" s="37">
        <v>-0.76</v>
      </c>
      <c r="F244" s="37">
        <v>0.17</v>
      </c>
      <c r="G244" s="37">
        <v>0.16</v>
      </c>
      <c r="H244" s="37">
        <v>-1.34</v>
      </c>
      <c r="I244" s="37">
        <v>-1.82</v>
      </c>
      <c r="J244" s="37">
        <v>0.95</v>
      </c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>
      <c r="A245" s="36">
        <v>0.21</v>
      </c>
      <c r="B245" s="37">
        <v>-0.75</v>
      </c>
      <c r="C245" s="37">
        <v>-0.33</v>
      </c>
      <c r="D245" s="37">
        <v>1.35</v>
      </c>
      <c r="E245" s="37">
        <v>2.19</v>
      </c>
      <c r="F245" s="37">
        <v>-0.87</v>
      </c>
      <c r="G245" s="37">
        <v>-0.12</v>
      </c>
      <c r="H245" s="37">
        <v>0.16</v>
      </c>
      <c r="I245" s="37">
        <v>-0.19</v>
      </c>
      <c r="J245" s="37">
        <v>0.18</v>
      </c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>
      <c r="A246" s="36">
        <v>-0.91</v>
      </c>
      <c r="B246" s="37">
        <v>1.02</v>
      </c>
      <c r="C246" s="37">
        <v>1.02</v>
      </c>
      <c r="D246" s="37">
        <v>-0.68</v>
      </c>
      <c r="E246" s="37">
        <v>-0.28</v>
      </c>
      <c r="F246" s="37">
        <v>-1.22</v>
      </c>
      <c r="G246" s="37">
        <v>-1.08</v>
      </c>
      <c r="H246" s="37">
        <v>0.84</v>
      </c>
      <c r="I246" s="37">
        <v>1.24</v>
      </c>
      <c r="J246" s="37">
        <v>-0.6</v>
      </c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>
      <c r="A247" s="36">
        <v>1.24</v>
      </c>
      <c r="B247" s="37">
        <v>-0.9</v>
      </c>
      <c r="C247" s="37">
        <v>-0.78</v>
      </c>
      <c r="D247" s="37">
        <v>-0.63</v>
      </c>
      <c r="E247" s="37">
        <v>-0.53</v>
      </c>
      <c r="F247" s="37">
        <v>-0.75</v>
      </c>
      <c r="G247" s="37">
        <v>0.5</v>
      </c>
      <c r="H247" s="37">
        <v>-1.33</v>
      </c>
      <c r="I247" s="37">
        <v>-1.77</v>
      </c>
      <c r="J247" s="37">
        <v>1.22</v>
      </c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>
      <c r="A248" s="36">
        <v>-0.07</v>
      </c>
      <c r="B248" s="37">
        <v>-0.41</v>
      </c>
      <c r="C248" s="37">
        <v>-0.35</v>
      </c>
      <c r="D248" s="37">
        <v>2.36</v>
      </c>
      <c r="E248" s="37">
        <v>2.28</v>
      </c>
      <c r="F248" s="37">
        <v>-0.89</v>
      </c>
      <c r="G248" s="37">
        <v>-0.09</v>
      </c>
      <c r="H248" s="37">
        <v>0.47</v>
      </c>
      <c r="I248" s="37">
        <v>0.28</v>
      </c>
      <c r="J248" s="37">
        <v>0.48</v>
      </c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>
      <c r="A249" s="36">
        <v>2.65</v>
      </c>
      <c r="B249" s="37">
        <v>-0.84</v>
      </c>
      <c r="C249" s="37">
        <v>-0.79</v>
      </c>
      <c r="D249" s="37">
        <v>-0.5</v>
      </c>
      <c r="E249" s="37">
        <v>-0.58</v>
      </c>
      <c r="F249" s="37">
        <v>-0.16</v>
      </c>
      <c r="G249" s="37">
        <v>-0.15</v>
      </c>
      <c r="H249" s="37">
        <v>-1.18</v>
      </c>
      <c r="I249" s="37">
        <v>-1.72</v>
      </c>
      <c r="J249" s="37">
        <v>1.96</v>
      </c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>
      <c r="A250" s="36">
        <v>1.74</v>
      </c>
      <c r="B250" s="37">
        <v>-1.35</v>
      </c>
      <c r="C250" s="37">
        <v>-0.78</v>
      </c>
      <c r="D250" s="37">
        <v>-1.05</v>
      </c>
      <c r="E250" s="37">
        <v>-0.51</v>
      </c>
      <c r="F250" s="37">
        <v>0.17</v>
      </c>
      <c r="G250" s="37">
        <v>-0.29</v>
      </c>
      <c r="H250" s="37">
        <v>-1.41</v>
      </c>
      <c r="I250" s="37">
        <v>-0.93</v>
      </c>
      <c r="J250" s="37">
        <v>1.11</v>
      </c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>
      <c r="A251" s="36">
        <v>0.81</v>
      </c>
      <c r="B251" s="37">
        <v>-0.74</v>
      </c>
      <c r="C251" s="37">
        <v>-0.62</v>
      </c>
      <c r="D251" s="37">
        <v>-0.68</v>
      </c>
      <c r="E251" s="37">
        <v>-0.45</v>
      </c>
      <c r="F251" s="37">
        <v>0.34</v>
      </c>
      <c r="G251" s="37">
        <v>-0.38</v>
      </c>
      <c r="H251" s="37">
        <v>-1.51</v>
      </c>
      <c r="I251" s="37">
        <v>-1.14</v>
      </c>
      <c r="J251" s="37">
        <v>2.02</v>
      </c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>
      <c r="A252" s="36">
        <v>0.2</v>
      </c>
      <c r="B252" s="37">
        <v>-0.73</v>
      </c>
      <c r="C252" s="37">
        <v>-0.03</v>
      </c>
      <c r="D252" s="37">
        <v>1.65</v>
      </c>
      <c r="E252" s="37">
        <v>1.75</v>
      </c>
      <c r="F252" s="37">
        <v>-0.45</v>
      </c>
      <c r="G252" s="37">
        <v>0.27</v>
      </c>
      <c r="H252" s="37">
        <v>0.26</v>
      </c>
      <c r="I252" s="37">
        <v>0.29</v>
      </c>
      <c r="J252" s="37">
        <v>0.11</v>
      </c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>
      <c r="A253" s="36">
        <v>-0.04</v>
      </c>
      <c r="B253" s="37">
        <v>-0.12</v>
      </c>
      <c r="C253" s="37">
        <v>-0.92</v>
      </c>
      <c r="D253" s="37">
        <v>1.74</v>
      </c>
      <c r="E253" s="37">
        <v>1.97</v>
      </c>
      <c r="F253" s="37">
        <v>-0.85</v>
      </c>
      <c r="G253" s="37">
        <v>-0.19</v>
      </c>
      <c r="H253" s="37">
        <v>-0.21</v>
      </c>
      <c r="I253" s="37">
        <v>0.86</v>
      </c>
      <c r="J253" s="37">
        <v>0.77</v>
      </c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>
      <c r="A254" s="36">
        <v>1.16</v>
      </c>
      <c r="B254" s="37">
        <v>-1.09</v>
      </c>
      <c r="C254" s="37">
        <v>-0.82</v>
      </c>
      <c r="D254" s="37">
        <v>-0.77</v>
      </c>
      <c r="E254" s="37">
        <v>-0.57</v>
      </c>
      <c r="F254" s="37">
        <v>-0.45</v>
      </c>
      <c r="G254" s="37">
        <v>-0.61</v>
      </c>
      <c r="H254" s="37">
        <v>-1.33</v>
      </c>
      <c r="I254" s="37">
        <v>-1.31</v>
      </c>
      <c r="J254" s="37">
        <v>0.99</v>
      </c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>
      <c r="A255" s="36">
        <v>0.35</v>
      </c>
      <c r="B255" s="37">
        <v>-0.62</v>
      </c>
      <c r="C255" s="37">
        <v>-0.37</v>
      </c>
      <c r="D255" s="37">
        <v>2.14</v>
      </c>
      <c r="E255" s="37">
        <v>1.87</v>
      </c>
      <c r="F255" s="37">
        <v>-0.42</v>
      </c>
      <c r="G255" s="37">
        <v>-0.54</v>
      </c>
      <c r="H255" s="37">
        <v>-0.2</v>
      </c>
      <c r="I255" s="37">
        <v>0.02</v>
      </c>
      <c r="J255" s="37">
        <v>-0.61</v>
      </c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>
      <c r="A256" s="36">
        <v>-0.98</v>
      </c>
      <c r="B256" s="37">
        <v>0.45</v>
      </c>
      <c r="C256" s="37">
        <v>1.29</v>
      </c>
      <c r="D256" s="37">
        <v>-0.37</v>
      </c>
      <c r="E256" s="37">
        <v>-0.39</v>
      </c>
      <c r="F256" s="37">
        <v>-0.97</v>
      </c>
      <c r="G256" s="37">
        <v>-1.14</v>
      </c>
      <c r="H256" s="37">
        <v>1.24</v>
      </c>
      <c r="I256" s="37">
        <v>1.31</v>
      </c>
      <c r="J256" s="37">
        <v>-0.77</v>
      </c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>
      <c r="A257" s="36">
        <v>-0.72</v>
      </c>
      <c r="B257" s="37">
        <v>-0.51</v>
      </c>
      <c r="C257" s="37">
        <v>-0.56</v>
      </c>
      <c r="D257" s="37">
        <v>-0.57</v>
      </c>
      <c r="E257" s="37">
        <v>-0.67</v>
      </c>
      <c r="F257" s="37">
        <v>1.05</v>
      </c>
      <c r="G257" s="37">
        <v>0.96</v>
      </c>
      <c r="H257" s="37">
        <v>0.31</v>
      </c>
      <c r="I257" s="37">
        <v>0.5</v>
      </c>
      <c r="J257" s="37">
        <v>-0.99</v>
      </c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>
      <c r="A258" s="36">
        <v>1.19</v>
      </c>
      <c r="B258" s="37">
        <v>-1.25</v>
      </c>
      <c r="C258" s="37">
        <v>-0.81</v>
      </c>
      <c r="D258" s="37">
        <v>-0.84</v>
      </c>
      <c r="E258" s="37">
        <v>-0.52</v>
      </c>
      <c r="F258" s="37">
        <v>-0.84</v>
      </c>
      <c r="G258" s="37">
        <v>-0.16</v>
      </c>
      <c r="H258" s="37">
        <v>-1.38</v>
      </c>
      <c r="I258" s="37">
        <v>-1.43</v>
      </c>
      <c r="J258" s="37">
        <v>2.44</v>
      </c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>
      <c r="A259" s="36">
        <v>-0.25</v>
      </c>
      <c r="B259" s="37">
        <v>-0.5</v>
      </c>
      <c r="C259" s="37">
        <v>-0.5</v>
      </c>
      <c r="D259" s="37">
        <v>-0.82</v>
      </c>
      <c r="E259" s="37">
        <v>-0.54</v>
      </c>
      <c r="F259" s="37">
        <v>1.23</v>
      </c>
      <c r="G259" s="37">
        <v>1.77</v>
      </c>
      <c r="H259" s="37">
        <v>-0.09</v>
      </c>
      <c r="I259" s="37">
        <v>0.25</v>
      </c>
      <c r="J259" s="37">
        <v>-1.02</v>
      </c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>
      <c r="A260" s="36">
        <v>0.17</v>
      </c>
      <c r="B260" s="37">
        <v>-0.21</v>
      </c>
      <c r="C260" s="37">
        <v>-0.18</v>
      </c>
      <c r="D260" s="37">
        <v>-0.36</v>
      </c>
      <c r="E260" s="37">
        <v>-0.44</v>
      </c>
      <c r="F260" s="37">
        <v>1.68</v>
      </c>
      <c r="G260" s="37">
        <v>1.46</v>
      </c>
      <c r="H260" s="37">
        <v>-0.85</v>
      </c>
      <c r="I260" s="37">
        <v>0.19</v>
      </c>
      <c r="J260" s="37">
        <v>-0.41</v>
      </c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>
      <c r="A261" s="36">
        <v>-0.96</v>
      </c>
      <c r="B261" s="37">
        <v>0.53</v>
      </c>
      <c r="C261" s="37">
        <v>1.52</v>
      </c>
      <c r="D261" s="37">
        <v>-0.01</v>
      </c>
      <c r="E261" s="37">
        <v>-0.11</v>
      </c>
      <c r="F261" s="37">
        <v>-0.94</v>
      </c>
      <c r="G261" s="37">
        <v>-0.75</v>
      </c>
      <c r="H261" s="37">
        <v>0.78</v>
      </c>
      <c r="I261" s="37">
        <v>0.39</v>
      </c>
      <c r="J261" s="37">
        <v>-0.9</v>
      </c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>
      <c r="A262" s="36">
        <v>0.11</v>
      </c>
      <c r="B262" s="37">
        <v>-0.19</v>
      </c>
      <c r="C262" s="37">
        <v>-0.52</v>
      </c>
      <c r="D262" s="37">
        <v>-0.56</v>
      </c>
      <c r="E262" s="37">
        <v>-0.18</v>
      </c>
      <c r="F262" s="37">
        <v>2.16</v>
      </c>
      <c r="G262" s="37">
        <v>2.53</v>
      </c>
      <c r="H262" s="37">
        <v>0.12</v>
      </c>
      <c r="I262" s="37">
        <v>0.39</v>
      </c>
      <c r="J262" s="37">
        <v>-1.39</v>
      </c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>
      <c r="A263" s="36">
        <v>2.32</v>
      </c>
      <c r="B263" s="37">
        <v>-1.3</v>
      </c>
      <c r="C263" s="37">
        <v>-0.79</v>
      </c>
      <c r="D263" s="37">
        <v>-0.88</v>
      </c>
      <c r="E263" s="37">
        <v>-0.69</v>
      </c>
      <c r="F263" s="37">
        <v>-0.48</v>
      </c>
      <c r="G263" s="37">
        <v>-0.3</v>
      </c>
      <c r="H263" s="37">
        <v>-1.52</v>
      </c>
      <c r="I263" s="37">
        <v>-1.64</v>
      </c>
      <c r="J263" s="37">
        <v>1.67</v>
      </c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>
      <c r="A264" s="36">
        <v>-1.12</v>
      </c>
      <c r="B264" s="37">
        <v>1.44</v>
      </c>
      <c r="C264" s="37">
        <v>2.19</v>
      </c>
      <c r="D264" s="37">
        <v>-0.42</v>
      </c>
      <c r="E264" s="37">
        <v>-0.48</v>
      </c>
      <c r="F264" s="37">
        <v>-0.97</v>
      </c>
      <c r="G264" s="37">
        <v>-0.66</v>
      </c>
      <c r="H264" s="37">
        <v>1.09</v>
      </c>
      <c r="I264" s="37">
        <v>0.81</v>
      </c>
      <c r="J264" s="37">
        <v>-0.23</v>
      </c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>
      <c r="A265" s="36">
        <v>-0.69</v>
      </c>
      <c r="B265" s="37">
        <v>0.21</v>
      </c>
      <c r="C265" s="37">
        <v>-0.42</v>
      </c>
      <c r="D265" s="37">
        <v>-0.56</v>
      </c>
      <c r="E265" s="37">
        <v>-0.68</v>
      </c>
      <c r="F265" s="37">
        <v>1.21</v>
      </c>
      <c r="G265" s="37">
        <v>1.54</v>
      </c>
      <c r="H265" s="37">
        <v>0.89</v>
      </c>
      <c r="I265" s="37">
        <v>0.06</v>
      </c>
      <c r="J265" s="37">
        <v>-0.57</v>
      </c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>
      <c r="A266" s="36">
        <v>0.19</v>
      </c>
      <c r="B266" s="37">
        <v>-1.18</v>
      </c>
      <c r="C266" s="37">
        <v>-0.81</v>
      </c>
      <c r="D266" s="37">
        <v>-0.85</v>
      </c>
      <c r="E266" s="37">
        <v>-0.74</v>
      </c>
      <c r="F266" s="37">
        <v>-0.42</v>
      </c>
      <c r="G266" s="37">
        <v>0.23</v>
      </c>
      <c r="H266" s="37">
        <v>-1.47</v>
      </c>
      <c r="I266" s="37">
        <v>-2.02</v>
      </c>
      <c r="J266" s="37">
        <v>0.44</v>
      </c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>
      <c r="A267" s="36">
        <v>-0.54</v>
      </c>
      <c r="B267" s="37">
        <v>0.11</v>
      </c>
      <c r="C267" s="37">
        <v>-0.93</v>
      </c>
      <c r="D267" s="37">
        <v>-0.59</v>
      </c>
      <c r="E267" s="37">
        <v>-0.62</v>
      </c>
      <c r="F267" s="37">
        <v>2.07</v>
      </c>
      <c r="G267" s="37">
        <v>1.0</v>
      </c>
      <c r="H267" s="37">
        <v>0.42</v>
      </c>
      <c r="I267" s="37">
        <v>0.34</v>
      </c>
      <c r="J267" s="37">
        <v>-1.47</v>
      </c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>
      <c r="A268" s="36">
        <v>-0.13</v>
      </c>
      <c r="B268" s="37">
        <v>0.01</v>
      </c>
      <c r="C268" s="37">
        <v>-0.4</v>
      </c>
      <c r="D268" s="37">
        <v>0.21</v>
      </c>
      <c r="E268" s="37">
        <v>-0.9</v>
      </c>
      <c r="F268" s="37">
        <v>2.2</v>
      </c>
      <c r="G268" s="37">
        <v>1.06</v>
      </c>
      <c r="H268" s="37">
        <v>0.37</v>
      </c>
      <c r="I268" s="37">
        <v>0.27</v>
      </c>
      <c r="J268" s="37">
        <v>-0.93</v>
      </c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>
      <c r="A269" s="36">
        <v>-0.53</v>
      </c>
      <c r="B269" s="37">
        <v>0.06</v>
      </c>
      <c r="C269" s="37">
        <v>-0.73</v>
      </c>
      <c r="D269" s="37">
        <v>-0.37</v>
      </c>
      <c r="E269" s="37">
        <v>-0.6</v>
      </c>
      <c r="F269" s="37">
        <v>1.11</v>
      </c>
      <c r="G269" s="37">
        <v>0.96</v>
      </c>
      <c r="H269" s="37">
        <v>0.9</v>
      </c>
      <c r="I269" s="37">
        <v>0.1</v>
      </c>
      <c r="J269" s="37">
        <v>-0.61</v>
      </c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>
      <c r="A270" s="36">
        <v>-0.38</v>
      </c>
      <c r="B270" s="37">
        <v>-0.04</v>
      </c>
      <c r="C270" s="37">
        <v>-0.28</v>
      </c>
      <c r="D270" s="37">
        <v>2.51</v>
      </c>
      <c r="E270" s="37">
        <v>1.81</v>
      </c>
      <c r="F270" s="37">
        <v>-0.37</v>
      </c>
      <c r="G270" s="37">
        <v>-0.3</v>
      </c>
      <c r="H270" s="37">
        <v>0.45</v>
      </c>
      <c r="I270" s="37">
        <v>-0.2</v>
      </c>
      <c r="J270" s="37">
        <v>0.28</v>
      </c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>
      <c r="A271" s="36">
        <v>-0.14</v>
      </c>
      <c r="B271" s="37">
        <v>-0.38</v>
      </c>
      <c r="C271" s="37">
        <v>-0.4</v>
      </c>
      <c r="D271" s="37">
        <v>1.94</v>
      </c>
      <c r="E271" s="37">
        <v>1.83</v>
      </c>
      <c r="F271" s="37">
        <v>-0.49</v>
      </c>
      <c r="G271" s="37">
        <v>0.28</v>
      </c>
      <c r="H271" s="37">
        <v>0.31</v>
      </c>
      <c r="I271" s="37">
        <v>0.48</v>
      </c>
      <c r="J271" s="37">
        <v>-0.43</v>
      </c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>
      <c r="A272" s="36">
        <v>0.91</v>
      </c>
      <c r="B272" s="37">
        <v>-0.85</v>
      </c>
      <c r="C272" s="37">
        <v>-0.73</v>
      </c>
      <c r="D272" s="37">
        <v>-0.42</v>
      </c>
      <c r="E272" s="37">
        <v>-0.69</v>
      </c>
      <c r="F272" s="37">
        <v>-0.25</v>
      </c>
      <c r="G272" s="37">
        <v>-0.91</v>
      </c>
      <c r="H272" s="37">
        <v>-1.5</v>
      </c>
      <c r="I272" s="37">
        <v>-1.2</v>
      </c>
      <c r="J272" s="37">
        <v>1.13</v>
      </c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>
      <c r="A273" s="36">
        <v>1.82</v>
      </c>
      <c r="B273" s="37">
        <v>-1.09</v>
      </c>
      <c r="C273" s="37">
        <v>-0.78</v>
      </c>
      <c r="D273" s="37">
        <v>-0.89</v>
      </c>
      <c r="E273" s="37">
        <v>-0.59</v>
      </c>
      <c r="F273" s="37">
        <v>-1.3</v>
      </c>
      <c r="G273" s="37">
        <v>-0.06</v>
      </c>
      <c r="H273" s="37">
        <v>-1.7</v>
      </c>
      <c r="I273" s="37">
        <v>-1.14</v>
      </c>
      <c r="J273" s="37">
        <v>1.64</v>
      </c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>
      <c r="A274" s="36">
        <v>1.72</v>
      </c>
      <c r="B274" s="37">
        <v>-0.74</v>
      </c>
      <c r="C274" s="37">
        <v>-0.91</v>
      </c>
      <c r="D274" s="37">
        <v>-0.37</v>
      </c>
      <c r="E274" s="37">
        <v>-0.46</v>
      </c>
      <c r="F274" s="37">
        <v>-0.25</v>
      </c>
      <c r="G274" s="37">
        <v>0.72</v>
      </c>
      <c r="H274" s="37">
        <v>-1.62</v>
      </c>
      <c r="I274" s="37">
        <v>-1.72</v>
      </c>
      <c r="J274" s="37">
        <v>1.07</v>
      </c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>
      <c r="A275" s="36">
        <v>1.12</v>
      </c>
      <c r="B275" s="37">
        <v>-1.28</v>
      </c>
      <c r="C275" s="37">
        <v>-0.69</v>
      </c>
      <c r="D275" s="37">
        <v>-0.73</v>
      </c>
      <c r="E275" s="37">
        <v>-0.55</v>
      </c>
      <c r="F275" s="37">
        <v>-0.38</v>
      </c>
      <c r="G275" s="37">
        <v>-1.01</v>
      </c>
      <c r="H275" s="37">
        <v>-1.39</v>
      </c>
      <c r="I275" s="37">
        <v>-2.02</v>
      </c>
      <c r="J275" s="37">
        <v>1.29</v>
      </c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>
      <c r="A276" s="36">
        <v>-0.76</v>
      </c>
      <c r="B276" s="37">
        <v>0.75</v>
      </c>
      <c r="C276" s="37">
        <v>-0.33</v>
      </c>
      <c r="D276" s="37">
        <v>-0.48</v>
      </c>
      <c r="E276" s="37">
        <v>-0.29</v>
      </c>
      <c r="F276" s="37">
        <v>1.22</v>
      </c>
      <c r="G276" s="37">
        <v>1.55</v>
      </c>
      <c r="H276" s="37">
        <v>0.32</v>
      </c>
      <c r="I276" s="37">
        <v>0.38</v>
      </c>
      <c r="J276" s="37">
        <v>-0.23</v>
      </c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>
      <c r="A277" s="36">
        <v>-0.14</v>
      </c>
      <c r="B277" s="37">
        <v>0.04</v>
      </c>
      <c r="C277" s="37">
        <v>-0.76</v>
      </c>
      <c r="D277" s="37">
        <v>-0.68</v>
      </c>
      <c r="E277" s="37">
        <v>-0.55</v>
      </c>
      <c r="F277" s="37">
        <v>1.58</v>
      </c>
      <c r="G277" s="37">
        <v>0.56</v>
      </c>
      <c r="H277" s="37">
        <v>1.53</v>
      </c>
      <c r="I277" s="37">
        <v>0.83</v>
      </c>
      <c r="J277" s="37">
        <v>-0.51</v>
      </c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>
      <c r="A278" s="36">
        <v>1.48</v>
      </c>
      <c r="B278" s="37">
        <v>-1.1</v>
      </c>
      <c r="C278" s="37">
        <v>-0.91</v>
      </c>
      <c r="D278" s="37">
        <v>-0.67</v>
      </c>
      <c r="E278" s="37">
        <v>-0.56</v>
      </c>
      <c r="F278" s="37">
        <v>-0.64</v>
      </c>
      <c r="G278" s="37">
        <v>0.25</v>
      </c>
      <c r="H278" s="37">
        <v>-1.46</v>
      </c>
      <c r="I278" s="37">
        <v>-2.02</v>
      </c>
      <c r="J278" s="37">
        <v>0.96</v>
      </c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>
      <c r="A279" s="36">
        <v>-0.48</v>
      </c>
      <c r="B279" s="37">
        <v>0.71</v>
      </c>
      <c r="C279" s="37">
        <v>-0.39</v>
      </c>
      <c r="D279" s="37">
        <v>-0.74</v>
      </c>
      <c r="E279" s="37">
        <v>-0.44</v>
      </c>
      <c r="F279" s="37">
        <v>0.96</v>
      </c>
      <c r="G279" s="37">
        <v>1.86</v>
      </c>
      <c r="H279" s="37">
        <v>-0.05</v>
      </c>
      <c r="I279" s="37">
        <v>0.26</v>
      </c>
      <c r="J279" s="37">
        <v>-0.21</v>
      </c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>
      <c r="A280" s="36">
        <v>-0.74</v>
      </c>
      <c r="B280" s="37">
        <v>-0.66</v>
      </c>
      <c r="C280" s="37">
        <v>-0.58</v>
      </c>
      <c r="D280" s="37">
        <v>-0.32</v>
      </c>
      <c r="E280" s="37">
        <v>-0.81</v>
      </c>
      <c r="F280" s="37">
        <v>0.47</v>
      </c>
      <c r="G280" s="37">
        <v>0.96</v>
      </c>
      <c r="H280" s="37">
        <v>0.51</v>
      </c>
      <c r="I280" s="37">
        <v>0.71</v>
      </c>
      <c r="J280" s="37">
        <v>-0.95</v>
      </c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>
      <c r="A281" s="36">
        <v>1.19</v>
      </c>
      <c r="B281" s="37">
        <v>-0.81</v>
      </c>
      <c r="C281" s="37">
        <v>-1.0</v>
      </c>
      <c r="D281" s="37">
        <v>-0.75</v>
      </c>
      <c r="E281" s="37">
        <v>-0.57</v>
      </c>
      <c r="F281" s="37">
        <v>0.01</v>
      </c>
      <c r="G281" s="37">
        <v>-0.24</v>
      </c>
      <c r="H281" s="37">
        <v>-1.43</v>
      </c>
      <c r="I281" s="37">
        <v>-2.02</v>
      </c>
      <c r="J281" s="37">
        <v>1.05</v>
      </c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>
      <c r="A282" s="36">
        <v>1.71</v>
      </c>
      <c r="B282" s="37">
        <v>-1.26</v>
      </c>
      <c r="C282" s="37">
        <v>-0.81</v>
      </c>
      <c r="D282" s="37">
        <v>-0.6</v>
      </c>
      <c r="E282" s="37">
        <v>-0.65</v>
      </c>
      <c r="F282" s="37">
        <v>-0.1</v>
      </c>
      <c r="G282" s="37">
        <v>-0.51</v>
      </c>
      <c r="H282" s="37">
        <v>-1.47</v>
      </c>
      <c r="I282" s="37">
        <v>-1.31</v>
      </c>
      <c r="J282" s="37">
        <v>1.39</v>
      </c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>
      <c r="A283" s="36">
        <v>-0.32</v>
      </c>
      <c r="B283" s="37">
        <v>-0.26</v>
      </c>
      <c r="C283" s="37">
        <v>-0.28</v>
      </c>
      <c r="D283" s="37">
        <v>1.11</v>
      </c>
      <c r="E283" s="37">
        <v>2.31</v>
      </c>
      <c r="F283" s="37">
        <v>-0.63</v>
      </c>
      <c r="G283" s="37">
        <v>-0.17</v>
      </c>
      <c r="H283" s="37">
        <v>0.41</v>
      </c>
      <c r="I283" s="37">
        <v>-0.47</v>
      </c>
      <c r="J283" s="37">
        <v>-0.59</v>
      </c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>
      <c r="A284" s="36">
        <v>-0.19</v>
      </c>
      <c r="B284" s="37">
        <v>-0.69</v>
      </c>
      <c r="C284" s="37">
        <v>-0.08</v>
      </c>
      <c r="D284" s="37">
        <v>1.54</v>
      </c>
      <c r="E284" s="37">
        <v>1.67</v>
      </c>
      <c r="F284" s="37">
        <v>-0.49</v>
      </c>
      <c r="G284" s="37">
        <v>-0.81</v>
      </c>
      <c r="H284" s="37">
        <v>-0.29</v>
      </c>
      <c r="I284" s="37">
        <v>0.25</v>
      </c>
      <c r="J284" s="37">
        <v>-0.36</v>
      </c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>
      <c r="A285" s="36">
        <v>-0.97</v>
      </c>
      <c r="B285" s="37">
        <v>1.02</v>
      </c>
      <c r="C285" s="37">
        <v>0.76</v>
      </c>
      <c r="D285" s="37">
        <v>-0.26</v>
      </c>
      <c r="E285" s="37">
        <v>-0.02</v>
      </c>
      <c r="F285" s="37">
        <v>-0.92</v>
      </c>
      <c r="G285" s="37">
        <v>-1.03</v>
      </c>
      <c r="H285" s="37">
        <v>1.36</v>
      </c>
      <c r="I285" s="37">
        <v>0.55</v>
      </c>
      <c r="J285" s="37">
        <v>0.35</v>
      </c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>
      <c r="A286" s="36">
        <v>-0.29</v>
      </c>
      <c r="B286" s="37">
        <v>0.61</v>
      </c>
      <c r="C286" s="37">
        <v>-0.6</v>
      </c>
      <c r="D286" s="37">
        <v>-0.17</v>
      </c>
      <c r="E286" s="37">
        <v>-0.38</v>
      </c>
      <c r="F286" s="37">
        <v>1.75</v>
      </c>
      <c r="G286" s="37">
        <v>1.37</v>
      </c>
      <c r="H286" s="37">
        <v>0.08</v>
      </c>
      <c r="I286" s="37">
        <v>0.71</v>
      </c>
      <c r="J286" s="37">
        <v>-0.7</v>
      </c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>
      <c r="A287" s="36">
        <v>-1.22</v>
      </c>
      <c r="B287" s="37">
        <v>0.69</v>
      </c>
      <c r="C287" s="37">
        <v>1.45</v>
      </c>
      <c r="D287" s="37">
        <v>-0.27</v>
      </c>
      <c r="E287" s="37">
        <v>-0.35</v>
      </c>
      <c r="F287" s="37">
        <v>-0.69</v>
      </c>
      <c r="G287" s="37">
        <v>-1.88</v>
      </c>
      <c r="H287" s="37">
        <v>1.06</v>
      </c>
      <c r="I287" s="37">
        <v>0.35</v>
      </c>
      <c r="J287" s="37">
        <v>-0.1</v>
      </c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>
      <c r="A288" s="36">
        <v>-0.1</v>
      </c>
      <c r="B288" s="37">
        <v>-0.18</v>
      </c>
      <c r="C288" s="37">
        <v>-0.59</v>
      </c>
      <c r="D288" s="37">
        <v>2.31</v>
      </c>
      <c r="E288" s="37">
        <v>2.26</v>
      </c>
      <c r="F288" s="37">
        <v>-0.39</v>
      </c>
      <c r="G288" s="37">
        <v>-0.39</v>
      </c>
      <c r="H288" s="37">
        <v>0.14</v>
      </c>
      <c r="I288" s="37">
        <v>-0.19</v>
      </c>
      <c r="J288" s="37">
        <v>0.34</v>
      </c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>
      <c r="A289" s="36">
        <v>0.14</v>
      </c>
      <c r="B289" s="37">
        <v>0.37</v>
      </c>
      <c r="C289" s="37">
        <v>-0.6</v>
      </c>
      <c r="D289" s="37">
        <v>-0.44</v>
      </c>
      <c r="E289" s="37">
        <v>-0.77</v>
      </c>
      <c r="F289" s="37">
        <v>1.76</v>
      </c>
      <c r="G289" s="37">
        <v>1.49</v>
      </c>
      <c r="H289" s="37">
        <v>-0.81</v>
      </c>
      <c r="I289" s="37">
        <v>-0.12</v>
      </c>
      <c r="J289" s="37">
        <v>-0.88</v>
      </c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>
      <c r="A290" s="36">
        <v>-0.19</v>
      </c>
      <c r="B290" s="37">
        <v>-0.86</v>
      </c>
      <c r="C290" s="37">
        <v>-0.34</v>
      </c>
      <c r="D290" s="37">
        <v>1.94</v>
      </c>
      <c r="E290" s="37">
        <v>1.81</v>
      </c>
      <c r="F290" s="37">
        <v>-0.74</v>
      </c>
      <c r="G290" s="37">
        <v>0.07</v>
      </c>
      <c r="H290" s="37">
        <v>0.61</v>
      </c>
      <c r="I290" s="37">
        <v>-0.09</v>
      </c>
      <c r="J290" s="37">
        <v>-0.53</v>
      </c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>
      <c r="A291" s="36">
        <v>-0.21</v>
      </c>
      <c r="B291" s="37">
        <v>-0.23</v>
      </c>
      <c r="C291" s="37">
        <v>-0.51</v>
      </c>
      <c r="D291" s="37">
        <v>-0.37</v>
      </c>
      <c r="E291" s="37">
        <v>-0.88</v>
      </c>
      <c r="F291" s="37">
        <v>2.04</v>
      </c>
      <c r="G291" s="37">
        <v>1.27</v>
      </c>
      <c r="H291" s="37">
        <v>-0.01</v>
      </c>
      <c r="I291" s="37">
        <v>0.26</v>
      </c>
      <c r="J291" s="37">
        <v>-0.77</v>
      </c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>
      <c r="A292" s="36">
        <v>-1.21</v>
      </c>
      <c r="B292" s="37">
        <v>2.15</v>
      </c>
      <c r="C292" s="37">
        <v>1.57</v>
      </c>
      <c r="D292" s="37">
        <v>-0.24</v>
      </c>
      <c r="E292" s="37">
        <v>-0.17</v>
      </c>
      <c r="F292" s="37">
        <v>-1.12</v>
      </c>
      <c r="G292" s="37">
        <v>-0.93</v>
      </c>
      <c r="H292" s="37">
        <v>0.83</v>
      </c>
      <c r="I292" s="37">
        <v>1.3</v>
      </c>
      <c r="J292" s="37">
        <v>-1.47</v>
      </c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>
      <c r="A293" s="36">
        <v>-0.97</v>
      </c>
      <c r="B293" s="37">
        <v>0.98</v>
      </c>
      <c r="C293" s="37">
        <v>1.78</v>
      </c>
      <c r="D293" s="37">
        <v>-0.24</v>
      </c>
      <c r="E293" s="37">
        <v>-0.47</v>
      </c>
      <c r="F293" s="37">
        <v>-1.06</v>
      </c>
      <c r="G293" s="37">
        <v>-1.16</v>
      </c>
      <c r="H293" s="37">
        <v>0.49</v>
      </c>
      <c r="I293" s="37">
        <v>1.3</v>
      </c>
      <c r="J293" s="37">
        <v>-0.64</v>
      </c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>
      <c r="A294" s="36">
        <v>-0.3</v>
      </c>
      <c r="B294" s="37">
        <v>-1.13</v>
      </c>
      <c r="C294" s="37">
        <v>-0.91</v>
      </c>
      <c r="D294" s="37">
        <v>-0.98</v>
      </c>
      <c r="E294" s="37">
        <v>-0.78</v>
      </c>
      <c r="F294" s="37">
        <v>-0.12</v>
      </c>
      <c r="G294" s="37">
        <v>0.83</v>
      </c>
      <c r="H294" s="37">
        <v>-1.38</v>
      </c>
      <c r="I294" s="37">
        <v>-1.66</v>
      </c>
      <c r="J294" s="37">
        <v>1.51</v>
      </c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>
      <c r="A295" s="36">
        <v>-0.26</v>
      </c>
      <c r="B295" s="37">
        <v>-0.65</v>
      </c>
      <c r="C295" s="37">
        <v>-0.65</v>
      </c>
      <c r="D295" s="37">
        <v>1.21</v>
      </c>
      <c r="E295" s="37">
        <v>1.73</v>
      </c>
      <c r="F295" s="37">
        <v>-0.5</v>
      </c>
      <c r="G295" s="37">
        <v>-0.37</v>
      </c>
      <c r="H295" s="37">
        <v>-0.3</v>
      </c>
      <c r="I295" s="37">
        <v>-0.29</v>
      </c>
      <c r="J295" s="37">
        <v>0.2</v>
      </c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>
      <c r="A296" s="36">
        <v>-1.15</v>
      </c>
      <c r="B296" s="37">
        <v>1.75</v>
      </c>
      <c r="C296" s="37">
        <v>1.03</v>
      </c>
      <c r="D296" s="37">
        <v>-0.46</v>
      </c>
      <c r="E296" s="37">
        <v>-0.61</v>
      </c>
      <c r="F296" s="37">
        <v>-1.02</v>
      </c>
      <c r="G296" s="37">
        <v>-0.74</v>
      </c>
      <c r="H296" s="37">
        <v>1.26</v>
      </c>
      <c r="I296" s="37">
        <v>1.35</v>
      </c>
      <c r="J296" s="37">
        <v>-0.21</v>
      </c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>
      <c r="A297" s="36">
        <v>-0.69</v>
      </c>
      <c r="B297" s="37">
        <v>-0.22</v>
      </c>
      <c r="C297" s="37">
        <v>-0.61</v>
      </c>
      <c r="D297" s="37">
        <v>-0.26</v>
      </c>
      <c r="E297" s="37">
        <v>-0.75</v>
      </c>
      <c r="F297" s="37">
        <v>1.88</v>
      </c>
      <c r="G297" s="37">
        <v>1.75</v>
      </c>
      <c r="H297" s="37">
        <v>1.22</v>
      </c>
      <c r="I297" s="37">
        <v>0.14</v>
      </c>
      <c r="J297" s="37">
        <v>-0.46</v>
      </c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>
      <c r="A298" s="36">
        <v>2.81</v>
      </c>
      <c r="B298" s="37">
        <v>-1.18</v>
      </c>
      <c r="C298" s="37">
        <v>-0.96</v>
      </c>
      <c r="D298" s="37">
        <v>-1.02</v>
      </c>
      <c r="E298" s="37">
        <v>-0.5</v>
      </c>
      <c r="F298" s="37">
        <v>-0.88</v>
      </c>
      <c r="G298" s="37">
        <v>-0.16</v>
      </c>
      <c r="H298" s="37">
        <v>-1.36</v>
      </c>
      <c r="I298" s="37">
        <v>-1.43</v>
      </c>
      <c r="J298" s="37">
        <v>1.5</v>
      </c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>
      <c r="A299" s="36">
        <v>-0.92</v>
      </c>
      <c r="B299" s="37">
        <v>2.03</v>
      </c>
      <c r="C299" s="37">
        <v>1.05</v>
      </c>
      <c r="D299" s="37">
        <v>-0.45</v>
      </c>
      <c r="E299" s="37">
        <v>-0.49</v>
      </c>
      <c r="F299" s="37">
        <v>-0.77</v>
      </c>
      <c r="G299" s="37">
        <v>-0.77</v>
      </c>
      <c r="H299" s="37">
        <v>1.23</v>
      </c>
      <c r="I299" s="37">
        <v>1.42</v>
      </c>
      <c r="J299" s="37">
        <v>-1.02</v>
      </c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>
      <c r="A300" s="36">
        <v>0.14</v>
      </c>
      <c r="B300" s="37">
        <v>0.56</v>
      </c>
      <c r="C300" s="37">
        <v>-0.36</v>
      </c>
      <c r="D300" s="37">
        <v>-0.18</v>
      </c>
      <c r="E300" s="37">
        <v>-0.83</v>
      </c>
      <c r="F300" s="37">
        <v>1.34</v>
      </c>
      <c r="G300" s="37">
        <v>0.8</v>
      </c>
      <c r="H300" s="37">
        <v>0.61</v>
      </c>
      <c r="I300" s="37">
        <v>-0.08</v>
      </c>
      <c r="J300" s="37">
        <v>-0.44</v>
      </c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>
      <c r="A301" s="36">
        <v>-0.75</v>
      </c>
      <c r="B301" s="37">
        <v>1.71</v>
      </c>
      <c r="C301" s="37">
        <v>1.7</v>
      </c>
      <c r="D301" s="37">
        <v>-0.5</v>
      </c>
      <c r="E301" s="37">
        <v>-0.5</v>
      </c>
      <c r="F301" s="37">
        <v>-0.69</v>
      </c>
      <c r="G301" s="37">
        <v>-0.81</v>
      </c>
      <c r="H301" s="37">
        <v>0.96</v>
      </c>
      <c r="I301" s="37">
        <v>0.85</v>
      </c>
      <c r="J301" s="37">
        <v>-1.42</v>
      </c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>
      <c r="A302" s="36">
        <v>-1.25</v>
      </c>
      <c r="B302" s="37">
        <v>-1.47</v>
      </c>
      <c r="C302" s="37">
        <v>-1.07</v>
      </c>
      <c r="D302" s="37">
        <v>-1.05</v>
      </c>
      <c r="E302" s="37">
        <v>-0.9</v>
      </c>
      <c r="F302" s="37">
        <v>-1.3</v>
      </c>
      <c r="G302" s="37">
        <v>-1.9</v>
      </c>
      <c r="H302" s="37">
        <v>-1.76</v>
      </c>
      <c r="I302" s="37">
        <v>-2.02</v>
      </c>
      <c r="J302" s="37">
        <v>-2.54</v>
      </c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>
      <c r="A303" s="62"/>
      <c r="B303" s="63"/>
      <c r="C303" s="63"/>
      <c r="D303" s="63"/>
      <c r="E303" s="63"/>
      <c r="F303" s="63"/>
      <c r="G303" s="63"/>
      <c r="H303" s="63"/>
      <c r="I303" s="63"/>
      <c r="J303" s="63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>
      <c r="A304" s="62"/>
      <c r="B304" s="63"/>
      <c r="C304" s="63"/>
      <c r="D304" s="63"/>
      <c r="E304" s="63"/>
      <c r="F304" s="63"/>
      <c r="G304" s="63"/>
      <c r="H304" s="63"/>
      <c r="I304" s="63"/>
      <c r="J304" s="63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>
      <c r="A305" s="62"/>
      <c r="B305" s="63"/>
      <c r="C305" s="63"/>
      <c r="D305" s="63"/>
      <c r="E305" s="63"/>
      <c r="F305" s="63"/>
      <c r="G305" s="63"/>
      <c r="H305" s="63"/>
      <c r="I305" s="63"/>
      <c r="J305" s="63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>
      <c r="A306" s="62"/>
      <c r="B306" s="63"/>
      <c r="C306" s="63"/>
      <c r="D306" s="63"/>
      <c r="E306" s="63"/>
      <c r="F306" s="63"/>
      <c r="G306" s="63"/>
      <c r="H306" s="63"/>
      <c r="I306" s="63"/>
      <c r="J306" s="63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>
      <c r="A307" s="62"/>
      <c r="B307" s="63"/>
      <c r="C307" s="63"/>
      <c r="D307" s="63"/>
      <c r="E307" s="63"/>
      <c r="F307" s="63"/>
      <c r="G307" s="63"/>
      <c r="H307" s="63"/>
      <c r="I307" s="63"/>
      <c r="J307" s="63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>
      <c r="A308" s="62"/>
      <c r="B308" s="63"/>
      <c r="C308" s="63"/>
      <c r="D308" s="63"/>
      <c r="E308" s="63"/>
      <c r="F308" s="63"/>
      <c r="G308" s="63"/>
      <c r="H308" s="63"/>
      <c r="I308" s="63"/>
      <c r="J308" s="63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>
      <c r="A309" s="62"/>
      <c r="B309" s="63"/>
      <c r="C309" s="63"/>
      <c r="D309" s="63"/>
      <c r="E309" s="63"/>
      <c r="F309" s="63"/>
      <c r="G309" s="63"/>
      <c r="H309" s="63"/>
      <c r="I309" s="63"/>
      <c r="J309" s="63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>
      <c r="A310" s="62"/>
      <c r="B310" s="63"/>
      <c r="C310" s="63"/>
      <c r="D310" s="63"/>
      <c r="E310" s="63"/>
      <c r="F310" s="63"/>
      <c r="G310" s="63"/>
      <c r="H310" s="63"/>
      <c r="I310" s="63"/>
      <c r="J310" s="63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>
      <c r="A311" s="62"/>
      <c r="B311" s="63"/>
      <c r="C311" s="63"/>
      <c r="D311" s="63"/>
      <c r="E311" s="63"/>
      <c r="F311" s="63"/>
      <c r="G311" s="63"/>
      <c r="H311" s="63"/>
      <c r="I311" s="63"/>
      <c r="J311" s="63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>
      <c r="A312" s="62"/>
      <c r="B312" s="63"/>
      <c r="C312" s="63"/>
      <c r="D312" s="63"/>
      <c r="E312" s="63"/>
      <c r="F312" s="63"/>
      <c r="G312" s="63"/>
      <c r="H312" s="63"/>
      <c r="I312" s="63"/>
      <c r="J312" s="63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>
      <c r="A313" s="62"/>
      <c r="B313" s="63"/>
      <c r="C313" s="63"/>
      <c r="D313" s="63"/>
      <c r="E313" s="63"/>
      <c r="F313" s="63"/>
      <c r="G313" s="63"/>
      <c r="H313" s="63"/>
      <c r="I313" s="63"/>
      <c r="J313" s="63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>
      <c r="A314" s="62"/>
      <c r="B314" s="63"/>
      <c r="C314" s="63"/>
      <c r="D314" s="63"/>
      <c r="E314" s="63"/>
      <c r="F314" s="63"/>
      <c r="G314" s="63"/>
      <c r="H314" s="63"/>
      <c r="I314" s="63"/>
      <c r="J314" s="63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>
      <c r="A315" s="62"/>
      <c r="B315" s="63"/>
      <c r="C315" s="63"/>
      <c r="D315" s="63"/>
      <c r="E315" s="63"/>
      <c r="F315" s="63"/>
      <c r="G315" s="63"/>
      <c r="H315" s="63"/>
      <c r="I315" s="63"/>
      <c r="J315" s="63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>
      <c r="A316" s="62"/>
      <c r="B316" s="63"/>
      <c r="C316" s="63"/>
      <c r="D316" s="63"/>
      <c r="E316" s="63"/>
      <c r="F316" s="63"/>
      <c r="G316" s="63"/>
      <c r="H316" s="63"/>
      <c r="I316" s="63"/>
      <c r="J316" s="63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>
      <c r="A317" s="62"/>
      <c r="B317" s="63"/>
      <c r="C317" s="63"/>
      <c r="D317" s="63"/>
      <c r="E317" s="63"/>
      <c r="F317" s="63"/>
      <c r="G317" s="63"/>
      <c r="H317" s="63"/>
      <c r="I317" s="63"/>
      <c r="J317" s="63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>
      <c r="A318" s="62"/>
      <c r="B318" s="63"/>
      <c r="C318" s="63"/>
      <c r="D318" s="63"/>
      <c r="E318" s="63"/>
      <c r="F318" s="63"/>
      <c r="G318" s="63"/>
      <c r="H318" s="63"/>
      <c r="I318" s="63"/>
      <c r="J318" s="63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>
      <c r="A319" s="62"/>
      <c r="B319" s="63"/>
      <c r="C319" s="63"/>
      <c r="D319" s="63"/>
      <c r="E319" s="63"/>
      <c r="F319" s="63"/>
      <c r="G319" s="63"/>
      <c r="H319" s="63"/>
      <c r="I319" s="63"/>
      <c r="J319" s="63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>
      <c r="A320" s="62"/>
      <c r="B320" s="63"/>
      <c r="C320" s="63"/>
      <c r="D320" s="63"/>
      <c r="E320" s="63"/>
      <c r="F320" s="63"/>
      <c r="G320" s="63"/>
      <c r="H320" s="63"/>
      <c r="I320" s="63"/>
      <c r="J320" s="63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>
      <c r="A321" s="62"/>
      <c r="B321" s="63"/>
      <c r="C321" s="63"/>
      <c r="D321" s="63"/>
      <c r="E321" s="63"/>
      <c r="F321" s="63"/>
      <c r="G321" s="63"/>
      <c r="H321" s="63"/>
      <c r="I321" s="63"/>
      <c r="J321" s="63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>
      <c r="A322" s="62"/>
      <c r="B322" s="63"/>
      <c r="C322" s="63"/>
      <c r="D322" s="63"/>
      <c r="E322" s="63"/>
      <c r="F322" s="63"/>
      <c r="G322" s="63"/>
      <c r="H322" s="63"/>
      <c r="I322" s="63"/>
      <c r="J322" s="63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>
      <c r="A323" s="62"/>
      <c r="B323" s="63"/>
      <c r="C323" s="63"/>
      <c r="D323" s="63"/>
      <c r="E323" s="63"/>
      <c r="F323" s="63"/>
      <c r="G323" s="63"/>
      <c r="H323" s="63"/>
      <c r="I323" s="63"/>
      <c r="J323" s="63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>
      <c r="A324" s="62"/>
      <c r="B324" s="63"/>
      <c r="C324" s="63"/>
      <c r="D324" s="63"/>
      <c r="E324" s="63"/>
      <c r="F324" s="63"/>
      <c r="G324" s="63"/>
      <c r="H324" s="63"/>
      <c r="I324" s="63"/>
      <c r="J324" s="63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>
      <c r="A325" s="62"/>
      <c r="B325" s="63"/>
      <c r="C325" s="63"/>
      <c r="D325" s="63"/>
      <c r="E325" s="63"/>
      <c r="F325" s="63"/>
      <c r="G325" s="63"/>
      <c r="H325" s="63"/>
      <c r="I325" s="63"/>
      <c r="J325" s="63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>
      <c r="A326" s="62"/>
      <c r="B326" s="63"/>
      <c r="C326" s="63"/>
      <c r="D326" s="63"/>
      <c r="E326" s="63"/>
      <c r="F326" s="63"/>
      <c r="G326" s="63"/>
      <c r="H326" s="63"/>
      <c r="I326" s="63"/>
      <c r="J326" s="63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>
      <c r="A327" s="62"/>
      <c r="B327" s="63"/>
      <c r="C327" s="63"/>
      <c r="D327" s="63"/>
      <c r="E327" s="63"/>
      <c r="F327" s="63"/>
      <c r="G327" s="63"/>
      <c r="H327" s="63"/>
      <c r="I327" s="63"/>
      <c r="J327" s="63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>
      <c r="A328" s="62"/>
      <c r="B328" s="63"/>
      <c r="C328" s="63"/>
      <c r="D328" s="63"/>
      <c r="E328" s="63"/>
      <c r="F328" s="63"/>
      <c r="G328" s="63"/>
      <c r="H328" s="63"/>
      <c r="I328" s="63"/>
      <c r="J328" s="63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>
      <c r="A329" s="62"/>
      <c r="B329" s="63"/>
      <c r="C329" s="63"/>
      <c r="D329" s="63"/>
      <c r="E329" s="63"/>
      <c r="F329" s="63"/>
      <c r="G329" s="63"/>
      <c r="H329" s="63"/>
      <c r="I329" s="63"/>
      <c r="J329" s="63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>
      <c r="A330" s="62"/>
      <c r="B330" s="63"/>
      <c r="C330" s="63"/>
      <c r="D330" s="63"/>
      <c r="E330" s="63"/>
      <c r="F330" s="63"/>
      <c r="G330" s="63"/>
      <c r="H330" s="63"/>
      <c r="I330" s="63"/>
      <c r="J330" s="63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>
      <c r="A331" s="62"/>
      <c r="B331" s="63"/>
      <c r="C331" s="63"/>
      <c r="D331" s="63"/>
      <c r="E331" s="63"/>
      <c r="F331" s="63"/>
      <c r="G331" s="63"/>
      <c r="H331" s="63"/>
      <c r="I331" s="63"/>
      <c r="J331" s="63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>
      <c r="A332" s="62"/>
      <c r="B332" s="63"/>
      <c r="C332" s="63"/>
      <c r="D332" s="63"/>
      <c r="E332" s="63"/>
      <c r="F332" s="63"/>
      <c r="G332" s="63"/>
      <c r="H332" s="63"/>
      <c r="I332" s="63"/>
      <c r="J332" s="63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>
      <c r="A333" s="62"/>
      <c r="B333" s="63"/>
      <c r="C333" s="63"/>
      <c r="D333" s="63"/>
      <c r="E333" s="63"/>
      <c r="F333" s="63"/>
      <c r="G333" s="63"/>
      <c r="H333" s="63"/>
      <c r="I333" s="63"/>
      <c r="J333" s="63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>
      <c r="A334" s="62"/>
      <c r="B334" s="63"/>
      <c r="C334" s="63"/>
      <c r="D334" s="63"/>
      <c r="E334" s="63"/>
      <c r="F334" s="63"/>
      <c r="G334" s="63"/>
      <c r="H334" s="63"/>
      <c r="I334" s="63"/>
      <c r="J334" s="63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>
      <c r="A335" s="62"/>
      <c r="B335" s="63"/>
      <c r="C335" s="63"/>
      <c r="D335" s="63"/>
      <c r="E335" s="63"/>
      <c r="F335" s="63"/>
      <c r="G335" s="63"/>
      <c r="H335" s="63"/>
      <c r="I335" s="63"/>
      <c r="J335" s="63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>
      <c r="A336" s="62"/>
      <c r="B336" s="63"/>
      <c r="C336" s="63"/>
      <c r="D336" s="63"/>
      <c r="E336" s="63"/>
      <c r="F336" s="63"/>
      <c r="G336" s="63"/>
      <c r="H336" s="63"/>
      <c r="I336" s="63"/>
      <c r="J336" s="63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>
      <c r="A337" s="62"/>
      <c r="B337" s="63"/>
      <c r="C337" s="63"/>
      <c r="D337" s="63"/>
      <c r="E337" s="63"/>
      <c r="F337" s="63"/>
      <c r="G337" s="63"/>
      <c r="H337" s="63"/>
      <c r="I337" s="63"/>
      <c r="J337" s="63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>
      <c r="A338" s="62"/>
      <c r="B338" s="63"/>
      <c r="C338" s="63"/>
      <c r="D338" s="63"/>
      <c r="E338" s="63"/>
      <c r="F338" s="63"/>
      <c r="G338" s="63"/>
      <c r="H338" s="63"/>
      <c r="I338" s="63"/>
      <c r="J338" s="63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>
      <c r="A339" s="62"/>
      <c r="B339" s="63"/>
      <c r="C339" s="63"/>
      <c r="D339" s="63"/>
      <c r="E339" s="63"/>
      <c r="F339" s="63"/>
      <c r="G339" s="63"/>
      <c r="H339" s="63"/>
      <c r="I339" s="63"/>
      <c r="J339" s="63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>
      <c r="A340" s="62"/>
      <c r="B340" s="63"/>
      <c r="C340" s="63"/>
      <c r="D340" s="63"/>
      <c r="E340" s="63"/>
      <c r="F340" s="63"/>
      <c r="G340" s="63"/>
      <c r="H340" s="63"/>
      <c r="I340" s="63"/>
      <c r="J340" s="63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>
      <c r="A341" s="62"/>
      <c r="B341" s="63"/>
      <c r="C341" s="63"/>
      <c r="D341" s="63"/>
      <c r="E341" s="63"/>
      <c r="F341" s="63"/>
      <c r="G341" s="63"/>
      <c r="H341" s="63"/>
      <c r="I341" s="63"/>
      <c r="J341" s="63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>
      <c r="A342" s="62"/>
      <c r="B342" s="63"/>
      <c r="C342" s="63"/>
      <c r="D342" s="63"/>
      <c r="E342" s="63"/>
      <c r="F342" s="63"/>
      <c r="G342" s="63"/>
      <c r="H342" s="63"/>
      <c r="I342" s="63"/>
      <c r="J342" s="63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>
      <c r="A343" s="62"/>
      <c r="B343" s="63"/>
      <c r="C343" s="63"/>
      <c r="D343" s="63"/>
      <c r="E343" s="63"/>
      <c r="F343" s="63"/>
      <c r="G343" s="63"/>
      <c r="H343" s="63"/>
      <c r="I343" s="63"/>
      <c r="J343" s="63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>
      <c r="A344" s="62"/>
      <c r="B344" s="63"/>
      <c r="C344" s="63"/>
      <c r="D344" s="63"/>
      <c r="E344" s="63"/>
      <c r="F344" s="63"/>
      <c r="G344" s="63"/>
      <c r="H344" s="63"/>
      <c r="I344" s="63"/>
      <c r="J344" s="63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>
      <c r="A345" s="62"/>
      <c r="B345" s="63"/>
      <c r="C345" s="63"/>
      <c r="D345" s="63"/>
      <c r="E345" s="63"/>
      <c r="F345" s="63"/>
      <c r="G345" s="63"/>
      <c r="H345" s="63"/>
      <c r="I345" s="63"/>
      <c r="J345" s="63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>
      <c r="A346" s="62"/>
      <c r="B346" s="63"/>
      <c r="C346" s="63"/>
      <c r="D346" s="63"/>
      <c r="E346" s="63"/>
      <c r="F346" s="63"/>
      <c r="G346" s="63"/>
      <c r="H346" s="63"/>
      <c r="I346" s="63"/>
      <c r="J346" s="63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>
      <c r="A347" s="62"/>
      <c r="B347" s="63"/>
      <c r="C347" s="63"/>
      <c r="D347" s="63"/>
      <c r="E347" s="63"/>
      <c r="F347" s="63"/>
      <c r="G347" s="63"/>
      <c r="H347" s="63"/>
      <c r="I347" s="63"/>
      <c r="J347" s="63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>
      <c r="A348" s="62"/>
      <c r="B348" s="63"/>
      <c r="C348" s="63"/>
      <c r="D348" s="63"/>
      <c r="E348" s="63"/>
      <c r="F348" s="63"/>
      <c r="G348" s="63"/>
      <c r="H348" s="63"/>
      <c r="I348" s="63"/>
      <c r="J348" s="63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>
      <c r="A349" s="62"/>
      <c r="B349" s="63"/>
      <c r="C349" s="63"/>
      <c r="D349" s="63"/>
      <c r="E349" s="63"/>
      <c r="F349" s="63"/>
      <c r="G349" s="63"/>
      <c r="H349" s="63"/>
      <c r="I349" s="63"/>
      <c r="J349" s="63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>
      <c r="A350" s="62"/>
      <c r="B350" s="63"/>
      <c r="C350" s="63"/>
      <c r="D350" s="63"/>
      <c r="E350" s="63"/>
      <c r="F350" s="63"/>
      <c r="G350" s="63"/>
      <c r="H350" s="63"/>
      <c r="I350" s="63"/>
      <c r="J350" s="63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>
      <c r="A351" s="62"/>
      <c r="B351" s="63"/>
      <c r="C351" s="63"/>
      <c r="D351" s="63"/>
      <c r="E351" s="63"/>
      <c r="F351" s="63"/>
      <c r="G351" s="63"/>
      <c r="H351" s="63"/>
      <c r="I351" s="63"/>
      <c r="J351" s="63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>
      <c r="A352" s="62"/>
      <c r="B352" s="63"/>
      <c r="C352" s="63"/>
      <c r="D352" s="63"/>
      <c r="E352" s="63"/>
      <c r="F352" s="63"/>
      <c r="G352" s="63"/>
      <c r="H352" s="63"/>
      <c r="I352" s="63"/>
      <c r="J352" s="63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>
      <c r="A353" s="62"/>
      <c r="B353" s="63"/>
      <c r="C353" s="63"/>
      <c r="D353" s="63"/>
      <c r="E353" s="63"/>
      <c r="F353" s="63"/>
      <c r="G353" s="63"/>
      <c r="H353" s="63"/>
      <c r="I353" s="63"/>
      <c r="J353" s="63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>
      <c r="A354" s="62"/>
      <c r="B354" s="63"/>
      <c r="C354" s="63"/>
      <c r="D354" s="63"/>
      <c r="E354" s="63"/>
      <c r="F354" s="63"/>
      <c r="G354" s="63"/>
      <c r="H354" s="63"/>
      <c r="I354" s="63"/>
      <c r="J354" s="63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>
      <c r="A355" s="62"/>
      <c r="B355" s="63"/>
      <c r="C355" s="63"/>
      <c r="D355" s="63"/>
      <c r="E355" s="63"/>
      <c r="F355" s="63"/>
      <c r="G355" s="63"/>
      <c r="H355" s="63"/>
      <c r="I355" s="63"/>
      <c r="J355" s="63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>
      <c r="A356" s="62"/>
      <c r="B356" s="63"/>
      <c r="C356" s="63"/>
      <c r="D356" s="63"/>
      <c r="E356" s="63"/>
      <c r="F356" s="63"/>
      <c r="G356" s="63"/>
      <c r="H356" s="63"/>
      <c r="I356" s="63"/>
      <c r="J356" s="63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>
      <c r="A357" s="62"/>
      <c r="B357" s="63"/>
      <c r="C357" s="63"/>
      <c r="D357" s="63"/>
      <c r="E357" s="63"/>
      <c r="F357" s="63"/>
      <c r="G357" s="63"/>
      <c r="H357" s="63"/>
      <c r="I357" s="63"/>
      <c r="J357" s="63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>
      <c r="A358" s="62"/>
      <c r="B358" s="63"/>
      <c r="C358" s="63"/>
      <c r="D358" s="63"/>
      <c r="E358" s="63"/>
      <c r="F358" s="63"/>
      <c r="G358" s="63"/>
      <c r="H358" s="63"/>
      <c r="I358" s="63"/>
      <c r="J358" s="63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>
      <c r="A359" s="62"/>
      <c r="B359" s="63"/>
      <c r="C359" s="63"/>
      <c r="D359" s="63"/>
      <c r="E359" s="63"/>
      <c r="F359" s="63"/>
      <c r="G359" s="63"/>
      <c r="H359" s="63"/>
      <c r="I359" s="63"/>
      <c r="J359" s="63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>
      <c r="A360" s="62"/>
      <c r="B360" s="63"/>
      <c r="C360" s="63"/>
      <c r="D360" s="63"/>
      <c r="E360" s="63"/>
      <c r="F360" s="63"/>
      <c r="G360" s="63"/>
      <c r="H360" s="63"/>
      <c r="I360" s="63"/>
      <c r="J360" s="63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>
      <c r="A361" s="62"/>
      <c r="B361" s="63"/>
      <c r="C361" s="63"/>
      <c r="D361" s="63"/>
      <c r="E361" s="63"/>
      <c r="F361" s="63"/>
      <c r="G361" s="63"/>
      <c r="H361" s="63"/>
      <c r="I361" s="63"/>
      <c r="J361" s="63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>
      <c r="A362" s="62"/>
      <c r="B362" s="63"/>
      <c r="C362" s="63"/>
      <c r="D362" s="63"/>
      <c r="E362" s="63"/>
      <c r="F362" s="63"/>
      <c r="G362" s="63"/>
      <c r="H362" s="63"/>
      <c r="I362" s="63"/>
      <c r="J362" s="63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>
      <c r="A363" s="62"/>
      <c r="B363" s="63"/>
      <c r="C363" s="63"/>
      <c r="D363" s="63"/>
      <c r="E363" s="63"/>
      <c r="F363" s="63"/>
      <c r="G363" s="63"/>
      <c r="H363" s="63"/>
      <c r="I363" s="63"/>
      <c r="J363" s="63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>
      <c r="A364" s="62"/>
      <c r="B364" s="63"/>
      <c r="C364" s="63"/>
      <c r="D364" s="63"/>
      <c r="E364" s="63"/>
      <c r="F364" s="63"/>
      <c r="G364" s="63"/>
      <c r="H364" s="63"/>
      <c r="I364" s="63"/>
      <c r="J364" s="63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>
      <c r="A365" s="62"/>
      <c r="B365" s="63"/>
      <c r="C365" s="63"/>
      <c r="D365" s="63"/>
      <c r="E365" s="63"/>
      <c r="F365" s="63"/>
      <c r="G365" s="63"/>
      <c r="H365" s="63"/>
      <c r="I365" s="63"/>
      <c r="J365" s="63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>
      <c r="A366" s="62"/>
      <c r="B366" s="63"/>
      <c r="C366" s="63"/>
      <c r="D366" s="63"/>
      <c r="E366" s="63"/>
      <c r="F366" s="63"/>
      <c r="G366" s="63"/>
      <c r="H366" s="63"/>
      <c r="I366" s="63"/>
      <c r="J366" s="63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>
      <c r="A367" s="62"/>
      <c r="B367" s="63"/>
      <c r="C367" s="63"/>
      <c r="D367" s="63"/>
      <c r="E367" s="63"/>
      <c r="F367" s="63"/>
      <c r="G367" s="63"/>
      <c r="H367" s="63"/>
      <c r="I367" s="63"/>
      <c r="J367" s="63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>
      <c r="A368" s="62"/>
      <c r="B368" s="63"/>
      <c r="C368" s="63"/>
      <c r="D368" s="63"/>
      <c r="E368" s="63"/>
      <c r="F368" s="63"/>
      <c r="G368" s="63"/>
      <c r="H368" s="63"/>
      <c r="I368" s="63"/>
      <c r="J368" s="63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>
      <c r="A369" s="62"/>
      <c r="B369" s="63"/>
      <c r="C369" s="63"/>
      <c r="D369" s="63"/>
      <c r="E369" s="63"/>
      <c r="F369" s="63"/>
      <c r="G369" s="63"/>
      <c r="H369" s="63"/>
      <c r="I369" s="63"/>
      <c r="J369" s="63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>
      <c r="A370" s="62"/>
      <c r="B370" s="63"/>
      <c r="C370" s="63"/>
      <c r="D370" s="63"/>
      <c r="E370" s="63"/>
      <c r="F370" s="63"/>
      <c r="G370" s="63"/>
      <c r="H370" s="63"/>
      <c r="I370" s="63"/>
      <c r="J370" s="63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>
      <c r="A371" s="62"/>
      <c r="B371" s="63"/>
      <c r="C371" s="63"/>
      <c r="D371" s="63"/>
      <c r="E371" s="63"/>
      <c r="F371" s="63"/>
      <c r="G371" s="63"/>
      <c r="H371" s="63"/>
      <c r="I371" s="63"/>
      <c r="J371" s="63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>
      <c r="A372" s="62"/>
      <c r="B372" s="63"/>
      <c r="C372" s="63"/>
      <c r="D372" s="63"/>
      <c r="E372" s="63"/>
      <c r="F372" s="63"/>
      <c r="G372" s="63"/>
      <c r="H372" s="63"/>
      <c r="I372" s="63"/>
      <c r="J372" s="63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>
      <c r="A373" s="62"/>
      <c r="B373" s="63"/>
      <c r="C373" s="63"/>
      <c r="D373" s="63"/>
      <c r="E373" s="63"/>
      <c r="F373" s="63"/>
      <c r="G373" s="63"/>
      <c r="H373" s="63"/>
      <c r="I373" s="63"/>
      <c r="J373" s="63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>
      <c r="A374" s="62"/>
      <c r="B374" s="63"/>
      <c r="C374" s="63"/>
      <c r="D374" s="63"/>
      <c r="E374" s="63"/>
      <c r="F374" s="63"/>
      <c r="G374" s="63"/>
      <c r="H374" s="63"/>
      <c r="I374" s="63"/>
      <c r="J374" s="63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>
      <c r="A375" s="62"/>
      <c r="B375" s="63"/>
      <c r="C375" s="63"/>
      <c r="D375" s="63"/>
      <c r="E375" s="63"/>
      <c r="F375" s="63"/>
      <c r="G375" s="63"/>
      <c r="H375" s="63"/>
      <c r="I375" s="63"/>
      <c r="J375" s="63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>
      <c r="A376" s="62"/>
      <c r="B376" s="63"/>
      <c r="C376" s="63"/>
      <c r="D376" s="63"/>
      <c r="E376" s="63"/>
      <c r="F376" s="63"/>
      <c r="G376" s="63"/>
      <c r="H376" s="63"/>
      <c r="I376" s="63"/>
      <c r="J376" s="63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>
      <c r="A377" s="62"/>
      <c r="B377" s="63"/>
      <c r="C377" s="63"/>
      <c r="D377" s="63"/>
      <c r="E377" s="63"/>
      <c r="F377" s="63"/>
      <c r="G377" s="63"/>
      <c r="H377" s="63"/>
      <c r="I377" s="63"/>
      <c r="J377" s="63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>
      <c r="A378" s="62"/>
      <c r="B378" s="63"/>
      <c r="C378" s="63"/>
      <c r="D378" s="63"/>
      <c r="E378" s="63"/>
      <c r="F378" s="63"/>
      <c r="G378" s="63"/>
      <c r="H378" s="63"/>
      <c r="I378" s="63"/>
      <c r="J378" s="63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>
      <c r="A379" s="62"/>
      <c r="B379" s="63"/>
      <c r="C379" s="63"/>
      <c r="D379" s="63"/>
      <c r="E379" s="63"/>
      <c r="F379" s="63"/>
      <c r="G379" s="63"/>
      <c r="H379" s="63"/>
      <c r="I379" s="63"/>
      <c r="J379" s="63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>
      <c r="A380" s="62"/>
      <c r="B380" s="63"/>
      <c r="C380" s="63"/>
      <c r="D380" s="63"/>
      <c r="E380" s="63"/>
      <c r="F380" s="63"/>
      <c r="G380" s="63"/>
      <c r="H380" s="63"/>
      <c r="I380" s="63"/>
      <c r="J380" s="63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>
      <c r="A381" s="62"/>
      <c r="B381" s="63"/>
      <c r="C381" s="63"/>
      <c r="D381" s="63"/>
      <c r="E381" s="63"/>
      <c r="F381" s="63"/>
      <c r="G381" s="63"/>
      <c r="H381" s="63"/>
      <c r="I381" s="63"/>
      <c r="J381" s="63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>
      <c r="A382" s="62"/>
      <c r="B382" s="63"/>
      <c r="C382" s="63"/>
      <c r="D382" s="63"/>
      <c r="E382" s="63"/>
      <c r="F382" s="63"/>
      <c r="G382" s="63"/>
      <c r="H382" s="63"/>
      <c r="I382" s="63"/>
      <c r="J382" s="63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>
      <c r="A383" s="62"/>
      <c r="B383" s="63"/>
      <c r="C383" s="63"/>
      <c r="D383" s="63"/>
      <c r="E383" s="63"/>
      <c r="F383" s="63"/>
      <c r="G383" s="63"/>
      <c r="H383" s="63"/>
      <c r="I383" s="63"/>
      <c r="J383" s="63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>
      <c r="A384" s="62"/>
      <c r="B384" s="63"/>
      <c r="C384" s="63"/>
      <c r="D384" s="63"/>
      <c r="E384" s="63"/>
      <c r="F384" s="63"/>
      <c r="G384" s="63"/>
      <c r="H384" s="63"/>
      <c r="I384" s="63"/>
      <c r="J384" s="63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>
      <c r="A385" s="62"/>
      <c r="B385" s="63"/>
      <c r="C385" s="63"/>
      <c r="D385" s="63"/>
      <c r="E385" s="63"/>
      <c r="F385" s="63"/>
      <c r="G385" s="63"/>
      <c r="H385" s="63"/>
      <c r="I385" s="63"/>
      <c r="J385" s="63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>
      <c r="A386" s="62"/>
      <c r="B386" s="63"/>
      <c r="C386" s="63"/>
      <c r="D386" s="63"/>
      <c r="E386" s="63"/>
      <c r="F386" s="63"/>
      <c r="G386" s="63"/>
      <c r="H386" s="63"/>
      <c r="I386" s="63"/>
      <c r="J386" s="63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>
      <c r="A387" s="62"/>
      <c r="B387" s="63"/>
      <c r="C387" s="63"/>
      <c r="D387" s="63"/>
      <c r="E387" s="63"/>
      <c r="F387" s="63"/>
      <c r="G387" s="63"/>
      <c r="H387" s="63"/>
      <c r="I387" s="63"/>
      <c r="J387" s="63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>
      <c r="A388" s="62"/>
      <c r="B388" s="63"/>
      <c r="C388" s="63"/>
      <c r="D388" s="63"/>
      <c r="E388" s="63"/>
      <c r="F388" s="63"/>
      <c r="G388" s="63"/>
      <c r="H388" s="63"/>
      <c r="I388" s="63"/>
      <c r="J388" s="63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>
      <c r="A389" s="62"/>
      <c r="B389" s="63"/>
      <c r="C389" s="63"/>
      <c r="D389" s="63"/>
      <c r="E389" s="63"/>
      <c r="F389" s="63"/>
      <c r="G389" s="63"/>
      <c r="H389" s="63"/>
      <c r="I389" s="63"/>
      <c r="J389" s="63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>
      <c r="A390" s="62"/>
      <c r="B390" s="63"/>
      <c r="C390" s="63"/>
      <c r="D390" s="63"/>
      <c r="E390" s="63"/>
      <c r="F390" s="63"/>
      <c r="G390" s="63"/>
      <c r="H390" s="63"/>
      <c r="I390" s="63"/>
      <c r="J390" s="63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>
      <c r="A391" s="62"/>
      <c r="B391" s="63"/>
      <c r="C391" s="63"/>
      <c r="D391" s="63"/>
      <c r="E391" s="63"/>
      <c r="F391" s="63"/>
      <c r="G391" s="63"/>
      <c r="H391" s="63"/>
      <c r="I391" s="63"/>
      <c r="J391" s="63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>
      <c r="A392" s="62"/>
      <c r="B392" s="63"/>
      <c r="C392" s="63"/>
      <c r="D392" s="63"/>
      <c r="E392" s="63"/>
      <c r="F392" s="63"/>
      <c r="G392" s="63"/>
      <c r="H392" s="63"/>
      <c r="I392" s="63"/>
      <c r="J392" s="63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>
      <c r="A393" s="62"/>
      <c r="B393" s="63"/>
      <c r="C393" s="63"/>
      <c r="D393" s="63"/>
      <c r="E393" s="63"/>
      <c r="F393" s="63"/>
      <c r="G393" s="63"/>
      <c r="H393" s="63"/>
      <c r="I393" s="63"/>
      <c r="J393" s="63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>
      <c r="A394" s="62"/>
      <c r="B394" s="63"/>
      <c r="C394" s="63"/>
      <c r="D394" s="63"/>
      <c r="E394" s="63"/>
      <c r="F394" s="63"/>
      <c r="G394" s="63"/>
      <c r="H394" s="63"/>
      <c r="I394" s="63"/>
      <c r="J394" s="63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>
      <c r="A395" s="62"/>
      <c r="B395" s="63"/>
      <c r="C395" s="63"/>
      <c r="D395" s="63"/>
      <c r="E395" s="63"/>
      <c r="F395" s="63"/>
      <c r="G395" s="63"/>
      <c r="H395" s="63"/>
      <c r="I395" s="63"/>
      <c r="J395" s="63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>
      <c r="A396" s="62"/>
      <c r="B396" s="63"/>
      <c r="C396" s="63"/>
      <c r="D396" s="63"/>
      <c r="E396" s="63"/>
      <c r="F396" s="63"/>
      <c r="G396" s="63"/>
      <c r="H396" s="63"/>
      <c r="I396" s="63"/>
      <c r="J396" s="63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>
      <c r="A397" s="62"/>
      <c r="B397" s="63"/>
      <c r="C397" s="63"/>
      <c r="D397" s="63"/>
      <c r="E397" s="63"/>
      <c r="F397" s="63"/>
      <c r="G397" s="63"/>
      <c r="H397" s="63"/>
      <c r="I397" s="63"/>
      <c r="J397" s="63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>
      <c r="A398" s="62"/>
      <c r="B398" s="63"/>
      <c r="C398" s="63"/>
      <c r="D398" s="63"/>
      <c r="E398" s="63"/>
      <c r="F398" s="63"/>
      <c r="G398" s="63"/>
      <c r="H398" s="63"/>
      <c r="I398" s="63"/>
      <c r="J398" s="63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>
      <c r="A399" s="62"/>
      <c r="B399" s="63"/>
      <c r="C399" s="63"/>
      <c r="D399" s="63"/>
      <c r="E399" s="63"/>
      <c r="F399" s="63"/>
      <c r="G399" s="63"/>
      <c r="H399" s="63"/>
      <c r="I399" s="63"/>
      <c r="J399" s="63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>
      <c r="A400" s="62"/>
      <c r="B400" s="63"/>
      <c r="C400" s="63"/>
      <c r="D400" s="63"/>
      <c r="E400" s="63"/>
      <c r="F400" s="63"/>
      <c r="G400" s="63"/>
      <c r="H400" s="63"/>
      <c r="I400" s="63"/>
      <c r="J400" s="63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>
      <c r="A401" s="62"/>
      <c r="B401" s="63"/>
      <c r="C401" s="63"/>
      <c r="D401" s="63"/>
      <c r="E401" s="63"/>
      <c r="F401" s="63"/>
      <c r="G401" s="63"/>
      <c r="H401" s="63"/>
      <c r="I401" s="63"/>
      <c r="J401" s="63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>
      <c r="A402" s="62"/>
      <c r="B402" s="63"/>
      <c r="C402" s="63"/>
      <c r="D402" s="63"/>
      <c r="E402" s="63"/>
      <c r="F402" s="63"/>
      <c r="G402" s="63"/>
      <c r="H402" s="63"/>
      <c r="I402" s="63"/>
      <c r="J402" s="63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>
      <c r="A403" s="62"/>
      <c r="B403" s="63"/>
      <c r="C403" s="63"/>
      <c r="D403" s="63"/>
      <c r="E403" s="63"/>
      <c r="F403" s="63"/>
      <c r="G403" s="63"/>
      <c r="H403" s="63"/>
      <c r="I403" s="63"/>
      <c r="J403" s="63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>
      <c r="A404" s="62"/>
      <c r="B404" s="63"/>
      <c r="C404" s="63"/>
      <c r="D404" s="63"/>
      <c r="E404" s="63"/>
      <c r="F404" s="63"/>
      <c r="G404" s="63"/>
      <c r="H404" s="63"/>
      <c r="I404" s="63"/>
      <c r="J404" s="63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>
      <c r="A405" s="62"/>
      <c r="B405" s="63"/>
      <c r="C405" s="63"/>
      <c r="D405" s="63"/>
      <c r="E405" s="63"/>
      <c r="F405" s="63"/>
      <c r="G405" s="63"/>
      <c r="H405" s="63"/>
      <c r="I405" s="63"/>
      <c r="J405" s="63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>
      <c r="A406" s="62"/>
      <c r="B406" s="63"/>
      <c r="C406" s="63"/>
      <c r="D406" s="63"/>
      <c r="E406" s="63"/>
      <c r="F406" s="63"/>
      <c r="G406" s="63"/>
      <c r="H406" s="63"/>
      <c r="I406" s="63"/>
      <c r="J406" s="63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>
      <c r="A407" s="62"/>
      <c r="B407" s="63"/>
      <c r="C407" s="63"/>
      <c r="D407" s="63"/>
      <c r="E407" s="63"/>
      <c r="F407" s="63"/>
      <c r="G407" s="63"/>
      <c r="H407" s="63"/>
      <c r="I407" s="63"/>
      <c r="J407" s="63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>
      <c r="A408" s="62"/>
      <c r="B408" s="63"/>
      <c r="C408" s="63"/>
      <c r="D408" s="63"/>
      <c r="E408" s="63"/>
      <c r="F408" s="63"/>
      <c r="G408" s="63"/>
      <c r="H408" s="63"/>
      <c r="I408" s="63"/>
      <c r="J408" s="63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>
      <c r="A409" s="62"/>
      <c r="B409" s="63"/>
      <c r="C409" s="63"/>
      <c r="D409" s="63"/>
      <c r="E409" s="63"/>
      <c r="F409" s="63"/>
      <c r="G409" s="63"/>
      <c r="H409" s="63"/>
      <c r="I409" s="63"/>
      <c r="J409" s="63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>
      <c r="A410" s="62"/>
      <c r="B410" s="63"/>
      <c r="C410" s="63"/>
      <c r="D410" s="63"/>
      <c r="E410" s="63"/>
      <c r="F410" s="63"/>
      <c r="G410" s="63"/>
      <c r="H410" s="63"/>
      <c r="I410" s="63"/>
      <c r="J410" s="63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>
      <c r="A411" s="62"/>
      <c r="B411" s="63"/>
      <c r="C411" s="63"/>
      <c r="D411" s="63"/>
      <c r="E411" s="63"/>
      <c r="F411" s="63"/>
      <c r="G411" s="63"/>
      <c r="H411" s="63"/>
      <c r="I411" s="63"/>
      <c r="J411" s="63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>
      <c r="A412" s="62"/>
      <c r="B412" s="63"/>
      <c r="C412" s="63"/>
      <c r="D412" s="63"/>
      <c r="E412" s="63"/>
      <c r="F412" s="63"/>
      <c r="G412" s="63"/>
      <c r="H412" s="63"/>
      <c r="I412" s="63"/>
      <c r="J412" s="63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>
      <c r="A413" s="62"/>
      <c r="B413" s="63"/>
      <c r="C413" s="63"/>
      <c r="D413" s="63"/>
      <c r="E413" s="63"/>
      <c r="F413" s="63"/>
      <c r="G413" s="63"/>
      <c r="H413" s="63"/>
      <c r="I413" s="63"/>
      <c r="J413" s="63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>
      <c r="A414" s="62"/>
      <c r="B414" s="63"/>
      <c r="C414" s="63"/>
      <c r="D414" s="63"/>
      <c r="E414" s="63"/>
      <c r="F414" s="63"/>
      <c r="G414" s="63"/>
      <c r="H414" s="63"/>
      <c r="I414" s="63"/>
      <c r="J414" s="63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>
      <c r="A415" s="62"/>
      <c r="B415" s="63"/>
      <c r="C415" s="63"/>
      <c r="D415" s="63"/>
      <c r="E415" s="63"/>
      <c r="F415" s="63"/>
      <c r="G415" s="63"/>
      <c r="H415" s="63"/>
      <c r="I415" s="63"/>
      <c r="J415" s="63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>
      <c r="A416" s="62"/>
      <c r="B416" s="63"/>
      <c r="C416" s="63"/>
      <c r="D416" s="63"/>
      <c r="E416" s="63"/>
      <c r="F416" s="63"/>
      <c r="G416" s="63"/>
      <c r="H416" s="63"/>
      <c r="I416" s="63"/>
      <c r="J416" s="63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>
      <c r="A417" s="62"/>
      <c r="B417" s="63"/>
      <c r="C417" s="63"/>
      <c r="D417" s="63"/>
      <c r="E417" s="63"/>
      <c r="F417" s="63"/>
      <c r="G417" s="63"/>
      <c r="H417" s="63"/>
      <c r="I417" s="63"/>
      <c r="J417" s="63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>
      <c r="A418" s="62"/>
      <c r="B418" s="63"/>
      <c r="C418" s="63"/>
      <c r="D418" s="63"/>
      <c r="E418" s="63"/>
      <c r="F418" s="63"/>
      <c r="G418" s="63"/>
      <c r="H418" s="63"/>
      <c r="I418" s="63"/>
      <c r="J418" s="63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>
      <c r="A419" s="62"/>
      <c r="B419" s="63"/>
      <c r="C419" s="63"/>
      <c r="D419" s="63"/>
      <c r="E419" s="63"/>
      <c r="F419" s="63"/>
      <c r="G419" s="63"/>
      <c r="H419" s="63"/>
      <c r="I419" s="63"/>
      <c r="J419" s="63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>
      <c r="A420" s="62"/>
      <c r="B420" s="63"/>
      <c r="C420" s="63"/>
      <c r="D420" s="63"/>
      <c r="E420" s="63"/>
      <c r="F420" s="63"/>
      <c r="G420" s="63"/>
      <c r="H420" s="63"/>
      <c r="I420" s="63"/>
      <c r="J420" s="63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>
      <c r="A421" s="62"/>
      <c r="B421" s="63"/>
      <c r="C421" s="63"/>
      <c r="D421" s="63"/>
      <c r="E421" s="63"/>
      <c r="F421" s="63"/>
      <c r="G421" s="63"/>
      <c r="H421" s="63"/>
      <c r="I421" s="63"/>
      <c r="J421" s="63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>
      <c r="A422" s="62"/>
      <c r="B422" s="63"/>
      <c r="C422" s="63"/>
      <c r="D422" s="63"/>
      <c r="E422" s="63"/>
      <c r="F422" s="63"/>
      <c r="G422" s="63"/>
      <c r="H422" s="63"/>
      <c r="I422" s="63"/>
      <c r="J422" s="63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>
      <c r="A423" s="62"/>
      <c r="B423" s="63"/>
      <c r="C423" s="63"/>
      <c r="D423" s="63"/>
      <c r="E423" s="63"/>
      <c r="F423" s="63"/>
      <c r="G423" s="63"/>
      <c r="H423" s="63"/>
      <c r="I423" s="63"/>
      <c r="J423" s="63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>
      <c r="A424" s="62"/>
      <c r="B424" s="63"/>
      <c r="C424" s="63"/>
      <c r="D424" s="63"/>
      <c r="E424" s="63"/>
      <c r="F424" s="63"/>
      <c r="G424" s="63"/>
      <c r="H424" s="63"/>
      <c r="I424" s="63"/>
      <c r="J424" s="63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>
      <c r="A425" s="62"/>
      <c r="B425" s="63"/>
      <c r="C425" s="63"/>
      <c r="D425" s="63"/>
      <c r="E425" s="63"/>
      <c r="F425" s="63"/>
      <c r="G425" s="63"/>
      <c r="H425" s="63"/>
      <c r="I425" s="63"/>
      <c r="J425" s="63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>
      <c r="A426" s="62"/>
      <c r="B426" s="63"/>
      <c r="C426" s="63"/>
      <c r="D426" s="63"/>
      <c r="E426" s="63"/>
      <c r="F426" s="63"/>
      <c r="G426" s="63"/>
      <c r="H426" s="63"/>
      <c r="I426" s="63"/>
      <c r="J426" s="63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>
      <c r="A427" s="62"/>
      <c r="B427" s="63"/>
      <c r="C427" s="63"/>
      <c r="D427" s="63"/>
      <c r="E427" s="63"/>
      <c r="F427" s="63"/>
      <c r="G427" s="63"/>
      <c r="H427" s="63"/>
      <c r="I427" s="63"/>
      <c r="J427" s="63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>
      <c r="A428" s="62"/>
      <c r="B428" s="63"/>
      <c r="C428" s="63"/>
      <c r="D428" s="63"/>
      <c r="E428" s="63"/>
      <c r="F428" s="63"/>
      <c r="G428" s="63"/>
      <c r="H428" s="63"/>
      <c r="I428" s="63"/>
      <c r="J428" s="63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>
      <c r="A429" s="62"/>
      <c r="B429" s="63"/>
      <c r="C429" s="63"/>
      <c r="D429" s="63"/>
      <c r="E429" s="63"/>
      <c r="F429" s="63"/>
      <c r="G429" s="63"/>
      <c r="H429" s="63"/>
      <c r="I429" s="63"/>
      <c r="J429" s="63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>
      <c r="A430" s="62"/>
      <c r="B430" s="63"/>
      <c r="C430" s="63"/>
      <c r="D430" s="63"/>
      <c r="E430" s="63"/>
      <c r="F430" s="63"/>
      <c r="G430" s="63"/>
      <c r="H430" s="63"/>
      <c r="I430" s="63"/>
      <c r="J430" s="63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>
      <c r="A431" s="62"/>
      <c r="B431" s="63"/>
      <c r="C431" s="63"/>
      <c r="D431" s="63"/>
      <c r="E431" s="63"/>
      <c r="F431" s="63"/>
      <c r="G431" s="63"/>
      <c r="H431" s="63"/>
      <c r="I431" s="63"/>
      <c r="J431" s="63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>
      <c r="A432" s="62"/>
      <c r="B432" s="63"/>
      <c r="C432" s="63"/>
      <c r="D432" s="63"/>
      <c r="E432" s="63"/>
      <c r="F432" s="63"/>
      <c r="G432" s="63"/>
      <c r="H432" s="63"/>
      <c r="I432" s="63"/>
      <c r="J432" s="63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>
      <c r="A433" s="62"/>
      <c r="B433" s="63"/>
      <c r="C433" s="63"/>
      <c r="D433" s="63"/>
      <c r="E433" s="63"/>
      <c r="F433" s="63"/>
      <c r="G433" s="63"/>
      <c r="H433" s="63"/>
      <c r="I433" s="63"/>
      <c r="J433" s="63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>
      <c r="A434" s="62"/>
      <c r="B434" s="63"/>
      <c r="C434" s="63"/>
      <c r="D434" s="63"/>
      <c r="E434" s="63"/>
      <c r="F434" s="63"/>
      <c r="G434" s="63"/>
      <c r="H434" s="63"/>
      <c r="I434" s="63"/>
      <c r="J434" s="63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>
      <c r="A435" s="62"/>
      <c r="B435" s="63"/>
      <c r="C435" s="63"/>
      <c r="D435" s="63"/>
      <c r="E435" s="63"/>
      <c r="F435" s="63"/>
      <c r="G435" s="63"/>
      <c r="H435" s="63"/>
      <c r="I435" s="63"/>
      <c r="J435" s="63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>
      <c r="A436" s="62"/>
      <c r="B436" s="63"/>
      <c r="C436" s="63"/>
      <c r="D436" s="63"/>
      <c r="E436" s="63"/>
      <c r="F436" s="63"/>
      <c r="G436" s="63"/>
      <c r="H436" s="63"/>
      <c r="I436" s="63"/>
      <c r="J436" s="63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>
      <c r="A437" s="62"/>
      <c r="B437" s="63"/>
      <c r="C437" s="63"/>
      <c r="D437" s="63"/>
      <c r="E437" s="63"/>
      <c r="F437" s="63"/>
      <c r="G437" s="63"/>
      <c r="H437" s="63"/>
      <c r="I437" s="63"/>
      <c r="J437" s="63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>
      <c r="A438" s="62"/>
      <c r="B438" s="63"/>
      <c r="C438" s="63"/>
      <c r="D438" s="63"/>
      <c r="E438" s="63"/>
      <c r="F438" s="63"/>
      <c r="G438" s="63"/>
      <c r="H438" s="63"/>
      <c r="I438" s="63"/>
      <c r="J438" s="63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>
      <c r="A439" s="62"/>
      <c r="B439" s="63"/>
      <c r="C439" s="63"/>
      <c r="D439" s="63"/>
      <c r="E439" s="63"/>
      <c r="F439" s="63"/>
      <c r="G439" s="63"/>
      <c r="H439" s="63"/>
      <c r="I439" s="63"/>
      <c r="J439" s="63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>
      <c r="A440" s="62"/>
      <c r="B440" s="63"/>
      <c r="C440" s="63"/>
      <c r="D440" s="63"/>
      <c r="E440" s="63"/>
      <c r="F440" s="63"/>
      <c r="G440" s="63"/>
      <c r="H440" s="63"/>
      <c r="I440" s="63"/>
      <c r="J440" s="63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>
      <c r="A441" s="62"/>
      <c r="B441" s="63"/>
      <c r="C441" s="63"/>
      <c r="D441" s="63"/>
      <c r="E441" s="63"/>
      <c r="F441" s="63"/>
      <c r="G441" s="63"/>
      <c r="H441" s="63"/>
      <c r="I441" s="63"/>
      <c r="J441" s="63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>
      <c r="A442" s="62"/>
      <c r="B442" s="63"/>
      <c r="C442" s="63"/>
      <c r="D442" s="63"/>
      <c r="E442" s="63"/>
      <c r="F442" s="63"/>
      <c r="G442" s="63"/>
      <c r="H442" s="63"/>
      <c r="I442" s="63"/>
      <c r="J442" s="63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>
      <c r="A443" s="62"/>
      <c r="B443" s="63"/>
      <c r="C443" s="63"/>
      <c r="D443" s="63"/>
      <c r="E443" s="63"/>
      <c r="F443" s="63"/>
      <c r="G443" s="63"/>
      <c r="H443" s="63"/>
      <c r="I443" s="63"/>
      <c r="J443" s="63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>
      <c r="A444" s="62"/>
      <c r="B444" s="63"/>
      <c r="C444" s="63"/>
      <c r="D444" s="63"/>
      <c r="E444" s="63"/>
      <c r="F444" s="63"/>
      <c r="G444" s="63"/>
      <c r="H444" s="63"/>
      <c r="I444" s="63"/>
      <c r="J444" s="63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>
      <c r="A445" s="62"/>
      <c r="B445" s="63"/>
      <c r="C445" s="63"/>
      <c r="D445" s="63"/>
      <c r="E445" s="63"/>
      <c r="F445" s="63"/>
      <c r="G445" s="63"/>
      <c r="H445" s="63"/>
      <c r="I445" s="63"/>
      <c r="J445" s="63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>
      <c r="A446" s="62"/>
      <c r="B446" s="63"/>
      <c r="C446" s="63"/>
      <c r="D446" s="63"/>
      <c r="E446" s="63"/>
      <c r="F446" s="63"/>
      <c r="G446" s="63"/>
      <c r="H446" s="63"/>
      <c r="I446" s="63"/>
      <c r="J446" s="63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>
      <c r="A447" s="62"/>
      <c r="B447" s="63"/>
      <c r="C447" s="63"/>
      <c r="D447" s="63"/>
      <c r="E447" s="63"/>
      <c r="F447" s="63"/>
      <c r="G447" s="63"/>
      <c r="H447" s="63"/>
      <c r="I447" s="63"/>
      <c r="J447" s="63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>
      <c r="A448" s="62"/>
      <c r="B448" s="63"/>
      <c r="C448" s="63"/>
      <c r="D448" s="63"/>
      <c r="E448" s="63"/>
      <c r="F448" s="63"/>
      <c r="G448" s="63"/>
      <c r="H448" s="63"/>
      <c r="I448" s="63"/>
      <c r="J448" s="63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>
      <c r="A449" s="62"/>
      <c r="B449" s="63"/>
      <c r="C449" s="63"/>
      <c r="D449" s="63"/>
      <c r="E449" s="63"/>
      <c r="F449" s="63"/>
      <c r="G449" s="63"/>
      <c r="H449" s="63"/>
      <c r="I449" s="63"/>
      <c r="J449" s="63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>
      <c r="A450" s="62"/>
      <c r="B450" s="63"/>
      <c r="C450" s="63"/>
      <c r="D450" s="63"/>
      <c r="E450" s="63"/>
      <c r="F450" s="63"/>
      <c r="G450" s="63"/>
      <c r="H450" s="63"/>
      <c r="I450" s="63"/>
      <c r="J450" s="63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>
      <c r="A451" s="62"/>
      <c r="B451" s="63"/>
      <c r="C451" s="63"/>
      <c r="D451" s="63"/>
      <c r="E451" s="63"/>
      <c r="F451" s="63"/>
      <c r="G451" s="63"/>
      <c r="H451" s="63"/>
      <c r="I451" s="63"/>
      <c r="J451" s="63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>
      <c r="A452" s="62"/>
      <c r="B452" s="63"/>
      <c r="C452" s="63"/>
      <c r="D452" s="63"/>
      <c r="E452" s="63"/>
      <c r="F452" s="63"/>
      <c r="G452" s="63"/>
      <c r="H452" s="63"/>
      <c r="I452" s="63"/>
      <c r="J452" s="63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>
      <c r="A453" s="62"/>
      <c r="B453" s="63"/>
      <c r="C453" s="63"/>
      <c r="D453" s="63"/>
      <c r="E453" s="63"/>
      <c r="F453" s="63"/>
      <c r="G453" s="63"/>
      <c r="H453" s="63"/>
      <c r="I453" s="63"/>
      <c r="J453" s="63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>
      <c r="A454" s="62"/>
      <c r="B454" s="63"/>
      <c r="C454" s="63"/>
      <c r="D454" s="63"/>
      <c r="E454" s="63"/>
      <c r="F454" s="63"/>
      <c r="G454" s="63"/>
      <c r="H454" s="63"/>
      <c r="I454" s="63"/>
      <c r="J454" s="63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>
      <c r="A455" s="62"/>
      <c r="B455" s="63"/>
      <c r="C455" s="63"/>
      <c r="D455" s="63"/>
      <c r="E455" s="63"/>
      <c r="F455" s="63"/>
      <c r="G455" s="63"/>
      <c r="H455" s="63"/>
      <c r="I455" s="63"/>
      <c r="J455" s="63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>
      <c r="A456" s="62"/>
      <c r="B456" s="63"/>
      <c r="C456" s="63"/>
      <c r="D456" s="63"/>
      <c r="E456" s="63"/>
      <c r="F456" s="63"/>
      <c r="G456" s="63"/>
      <c r="H456" s="63"/>
      <c r="I456" s="63"/>
      <c r="J456" s="63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>
      <c r="A457" s="62"/>
      <c r="B457" s="63"/>
      <c r="C457" s="63"/>
      <c r="D457" s="63"/>
      <c r="E457" s="63"/>
      <c r="F457" s="63"/>
      <c r="G457" s="63"/>
      <c r="H457" s="63"/>
      <c r="I457" s="63"/>
      <c r="J457" s="63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>
      <c r="A458" s="62"/>
      <c r="B458" s="63"/>
      <c r="C458" s="63"/>
      <c r="D458" s="63"/>
      <c r="E458" s="63"/>
      <c r="F458" s="63"/>
      <c r="G458" s="63"/>
      <c r="H458" s="63"/>
      <c r="I458" s="63"/>
      <c r="J458" s="63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>
      <c r="A459" s="62"/>
      <c r="B459" s="63"/>
      <c r="C459" s="63"/>
      <c r="D459" s="63"/>
      <c r="E459" s="63"/>
      <c r="F459" s="63"/>
      <c r="G459" s="63"/>
      <c r="H459" s="63"/>
      <c r="I459" s="63"/>
      <c r="J459" s="63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>
      <c r="A460" s="62"/>
      <c r="B460" s="63"/>
      <c r="C460" s="63"/>
      <c r="D460" s="63"/>
      <c r="E460" s="63"/>
      <c r="F460" s="63"/>
      <c r="G460" s="63"/>
      <c r="H460" s="63"/>
      <c r="I460" s="63"/>
      <c r="J460" s="63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>
      <c r="A461" s="62"/>
      <c r="B461" s="63"/>
      <c r="C461" s="63"/>
      <c r="D461" s="63"/>
      <c r="E461" s="63"/>
      <c r="F461" s="63"/>
      <c r="G461" s="63"/>
      <c r="H461" s="63"/>
      <c r="I461" s="63"/>
      <c r="J461" s="63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>
      <c r="A462" s="62"/>
      <c r="B462" s="63"/>
      <c r="C462" s="63"/>
      <c r="D462" s="63"/>
      <c r="E462" s="63"/>
      <c r="F462" s="63"/>
      <c r="G462" s="63"/>
      <c r="H462" s="63"/>
      <c r="I462" s="63"/>
      <c r="J462" s="63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>
      <c r="A463" s="62"/>
      <c r="B463" s="63"/>
      <c r="C463" s="63"/>
      <c r="D463" s="63"/>
      <c r="E463" s="63"/>
      <c r="F463" s="63"/>
      <c r="G463" s="63"/>
      <c r="H463" s="63"/>
      <c r="I463" s="63"/>
      <c r="J463" s="63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>
      <c r="A464" s="62"/>
      <c r="B464" s="63"/>
      <c r="C464" s="63"/>
      <c r="D464" s="63"/>
      <c r="E464" s="63"/>
      <c r="F464" s="63"/>
      <c r="G464" s="63"/>
      <c r="H464" s="63"/>
      <c r="I464" s="63"/>
      <c r="J464" s="63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>
      <c r="A465" s="62"/>
      <c r="B465" s="63"/>
      <c r="C465" s="63"/>
      <c r="D465" s="63"/>
      <c r="E465" s="63"/>
      <c r="F465" s="63"/>
      <c r="G465" s="63"/>
      <c r="H465" s="63"/>
      <c r="I465" s="63"/>
      <c r="J465" s="63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>
      <c r="A466" s="62"/>
      <c r="B466" s="63"/>
      <c r="C466" s="63"/>
      <c r="D466" s="63"/>
      <c r="E466" s="63"/>
      <c r="F466" s="63"/>
      <c r="G466" s="63"/>
      <c r="H466" s="63"/>
      <c r="I466" s="63"/>
      <c r="J466" s="63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>
      <c r="A467" s="62"/>
      <c r="B467" s="63"/>
      <c r="C467" s="63"/>
      <c r="D467" s="63"/>
      <c r="E467" s="63"/>
      <c r="F467" s="63"/>
      <c r="G467" s="63"/>
      <c r="H467" s="63"/>
      <c r="I467" s="63"/>
      <c r="J467" s="63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>
      <c r="A468" s="62"/>
      <c r="B468" s="63"/>
      <c r="C468" s="63"/>
      <c r="D468" s="63"/>
      <c r="E468" s="63"/>
      <c r="F468" s="63"/>
      <c r="G468" s="63"/>
      <c r="H468" s="63"/>
      <c r="I468" s="63"/>
      <c r="J468" s="63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>
      <c r="A469" s="62"/>
      <c r="B469" s="63"/>
      <c r="C469" s="63"/>
      <c r="D469" s="63"/>
      <c r="E469" s="63"/>
      <c r="F469" s="63"/>
      <c r="G469" s="63"/>
      <c r="H469" s="63"/>
      <c r="I469" s="63"/>
      <c r="J469" s="63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>
      <c r="A470" s="62"/>
      <c r="B470" s="63"/>
      <c r="C470" s="63"/>
      <c r="D470" s="63"/>
      <c r="E470" s="63"/>
      <c r="F470" s="63"/>
      <c r="G470" s="63"/>
      <c r="H470" s="63"/>
      <c r="I470" s="63"/>
      <c r="J470" s="63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>
      <c r="A471" s="62"/>
      <c r="B471" s="63"/>
      <c r="C471" s="63"/>
      <c r="D471" s="63"/>
      <c r="E471" s="63"/>
      <c r="F471" s="63"/>
      <c r="G471" s="63"/>
      <c r="H471" s="63"/>
      <c r="I471" s="63"/>
      <c r="J471" s="63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>
      <c r="A472" s="62"/>
      <c r="B472" s="63"/>
      <c r="C472" s="63"/>
      <c r="D472" s="63"/>
      <c r="E472" s="63"/>
      <c r="F472" s="63"/>
      <c r="G472" s="63"/>
      <c r="H472" s="63"/>
      <c r="I472" s="63"/>
      <c r="J472" s="63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>
      <c r="A473" s="62"/>
      <c r="B473" s="63"/>
      <c r="C473" s="63"/>
      <c r="D473" s="63"/>
      <c r="E473" s="63"/>
      <c r="F473" s="63"/>
      <c r="G473" s="63"/>
      <c r="H473" s="63"/>
      <c r="I473" s="63"/>
      <c r="J473" s="63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>
      <c r="A474" s="62"/>
      <c r="B474" s="63"/>
      <c r="C474" s="63"/>
      <c r="D474" s="63"/>
      <c r="E474" s="63"/>
      <c r="F474" s="63"/>
      <c r="G474" s="63"/>
      <c r="H474" s="63"/>
      <c r="I474" s="63"/>
      <c r="J474" s="63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>
      <c r="A475" s="62"/>
      <c r="B475" s="63"/>
      <c r="C475" s="63"/>
      <c r="D475" s="63"/>
      <c r="E475" s="63"/>
      <c r="F475" s="63"/>
      <c r="G475" s="63"/>
      <c r="H475" s="63"/>
      <c r="I475" s="63"/>
      <c r="J475" s="63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>
      <c r="A476" s="62"/>
      <c r="B476" s="63"/>
      <c r="C476" s="63"/>
      <c r="D476" s="63"/>
      <c r="E476" s="63"/>
      <c r="F476" s="63"/>
      <c r="G476" s="63"/>
      <c r="H476" s="63"/>
      <c r="I476" s="63"/>
      <c r="J476" s="63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>
      <c r="A477" s="62"/>
      <c r="B477" s="63"/>
      <c r="C477" s="63"/>
      <c r="D477" s="63"/>
      <c r="E477" s="63"/>
      <c r="F477" s="63"/>
      <c r="G477" s="63"/>
      <c r="H477" s="63"/>
      <c r="I477" s="63"/>
      <c r="J477" s="63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>
      <c r="A478" s="62"/>
      <c r="B478" s="63"/>
      <c r="C478" s="63"/>
      <c r="D478" s="63"/>
      <c r="E478" s="63"/>
      <c r="F478" s="63"/>
      <c r="G478" s="63"/>
      <c r="H478" s="63"/>
      <c r="I478" s="63"/>
      <c r="J478" s="63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>
      <c r="A479" s="62"/>
      <c r="B479" s="63"/>
      <c r="C479" s="63"/>
      <c r="D479" s="63"/>
      <c r="E479" s="63"/>
      <c r="F479" s="63"/>
      <c r="G479" s="63"/>
      <c r="H479" s="63"/>
      <c r="I479" s="63"/>
      <c r="J479" s="63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>
      <c r="A480" s="62"/>
      <c r="B480" s="63"/>
      <c r="C480" s="63"/>
      <c r="D480" s="63"/>
      <c r="E480" s="63"/>
      <c r="F480" s="63"/>
      <c r="G480" s="63"/>
      <c r="H480" s="63"/>
      <c r="I480" s="63"/>
      <c r="J480" s="63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>
      <c r="A481" s="62"/>
      <c r="B481" s="63"/>
      <c r="C481" s="63"/>
      <c r="D481" s="63"/>
      <c r="E481" s="63"/>
      <c r="F481" s="63"/>
      <c r="G481" s="63"/>
      <c r="H481" s="63"/>
      <c r="I481" s="63"/>
      <c r="J481" s="63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>
      <c r="A482" s="62"/>
      <c r="B482" s="63"/>
      <c r="C482" s="63"/>
      <c r="D482" s="63"/>
      <c r="E482" s="63"/>
      <c r="F482" s="63"/>
      <c r="G482" s="63"/>
      <c r="H482" s="63"/>
      <c r="I482" s="63"/>
      <c r="J482" s="63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>
      <c r="A483" s="62"/>
      <c r="B483" s="63"/>
      <c r="C483" s="63"/>
      <c r="D483" s="63"/>
      <c r="E483" s="63"/>
      <c r="F483" s="63"/>
      <c r="G483" s="63"/>
      <c r="H483" s="63"/>
      <c r="I483" s="63"/>
      <c r="J483" s="63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>
      <c r="A484" s="62"/>
      <c r="B484" s="63"/>
      <c r="C484" s="63"/>
      <c r="D484" s="63"/>
      <c r="E484" s="63"/>
      <c r="F484" s="63"/>
      <c r="G484" s="63"/>
      <c r="H484" s="63"/>
      <c r="I484" s="63"/>
      <c r="J484" s="63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>
      <c r="A485" s="62"/>
      <c r="B485" s="63"/>
      <c r="C485" s="63"/>
      <c r="D485" s="63"/>
      <c r="E485" s="63"/>
      <c r="F485" s="63"/>
      <c r="G485" s="63"/>
      <c r="H485" s="63"/>
      <c r="I485" s="63"/>
      <c r="J485" s="63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>
      <c r="A486" s="62"/>
      <c r="B486" s="63"/>
      <c r="C486" s="63"/>
      <c r="D486" s="63"/>
      <c r="E486" s="63"/>
      <c r="F486" s="63"/>
      <c r="G486" s="63"/>
      <c r="H486" s="63"/>
      <c r="I486" s="63"/>
      <c r="J486" s="63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>
      <c r="A487" s="62"/>
      <c r="B487" s="63"/>
      <c r="C487" s="63"/>
      <c r="D487" s="63"/>
      <c r="E487" s="63"/>
      <c r="F487" s="63"/>
      <c r="G487" s="63"/>
      <c r="H487" s="63"/>
      <c r="I487" s="63"/>
      <c r="J487" s="63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>
      <c r="A488" s="62"/>
      <c r="B488" s="63"/>
      <c r="C488" s="63"/>
      <c r="D488" s="63"/>
      <c r="E488" s="63"/>
      <c r="F488" s="63"/>
      <c r="G488" s="63"/>
      <c r="H488" s="63"/>
      <c r="I488" s="63"/>
      <c r="J488" s="63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>
      <c r="A489" s="62"/>
      <c r="B489" s="63"/>
      <c r="C489" s="63"/>
      <c r="D489" s="63"/>
      <c r="E489" s="63"/>
      <c r="F489" s="63"/>
      <c r="G489" s="63"/>
      <c r="H489" s="63"/>
      <c r="I489" s="63"/>
      <c r="J489" s="63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>
      <c r="A490" s="62"/>
      <c r="B490" s="63"/>
      <c r="C490" s="63"/>
      <c r="D490" s="63"/>
      <c r="E490" s="63"/>
      <c r="F490" s="63"/>
      <c r="G490" s="63"/>
      <c r="H490" s="63"/>
      <c r="I490" s="63"/>
      <c r="J490" s="63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>
      <c r="A491" s="62"/>
      <c r="B491" s="63"/>
      <c r="C491" s="63"/>
      <c r="D491" s="63"/>
      <c r="E491" s="63"/>
      <c r="F491" s="63"/>
      <c r="G491" s="63"/>
      <c r="H491" s="63"/>
      <c r="I491" s="63"/>
      <c r="J491" s="63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>
      <c r="A492" s="62"/>
      <c r="B492" s="63"/>
      <c r="C492" s="63"/>
      <c r="D492" s="63"/>
      <c r="E492" s="63"/>
      <c r="F492" s="63"/>
      <c r="G492" s="63"/>
      <c r="H492" s="63"/>
      <c r="I492" s="63"/>
      <c r="J492" s="63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>
      <c r="A493" s="62"/>
      <c r="B493" s="63"/>
      <c r="C493" s="63"/>
      <c r="D493" s="63"/>
      <c r="E493" s="63"/>
      <c r="F493" s="63"/>
      <c r="G493" s="63"/>
      <c r="H493" s="63"/>
      <c r="I493" s="63"/>
      <c r="J493" s="63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>
      <c r="A494" s="62"/>
      <c r="B494" s="63"/>
      <c r="C494" s="63"/>
      <c r="D494" s="63"/>
      <c r="E494" s="63"/>
      <c r="F494" s="63"/>
      <c r="G494" s="63"/>
      <c r="H494" s="63"/>
      <c r="I494" s="63"/>
      <c r="J494" s="63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>
      <c r="A495" s="62"/>
      <c r="B495" s="63"/>
      <c r="C495" s="63"/>
      <c r="D495" s="63"/>
      <c r="E495" s="63"/>
      <c r="F495" s="63"/>
      <c r="G495" s="63"/>
      <c r="H495" s="63"/>
      <c r="I495" s="63"/>
      <c r="J495" s="63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>
      <c r="A496" s="62"/>
      <c r="B496" s="63"/>
      <c r="C496" s="63"/>
      <c r="D496" s="63"/>
      <c r="E496" s="63"/>
      <c r="F496" s="63"/>
      <c r="G496" s="63"/>
      <c r="H496" s="63"/>
      <c r="I496" s="63"/>
      <c r="J496" s="63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>
      <c r="A497" s="62"/>
      <c r="B497" s="63"/>
      <c r="C497" s="63"/>
      <c r="D497" s="63"/>
      <c r="E497" s="63"/>
      <c r="F497" s="63"/>
      <c r="G497" s="63"/>
      <c r="H497" s="63"/>
      <c r="I497" s="63"/>
      <c r="J497" s="63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>
      <c r="A498" s="62"/>
      <c r="B498" s="63"/>
      <c r="C498" s="63"/>
      <c r="D498" s="63"/>
      <c r="E498" s="63"/>
      <c r="F498" s="63"/>
      <c r="G498" s="63"/>
      <c r="H498" s="63"/>
      <c r="I498" s="63"/>
      <c r="J498" s="63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>
      <c r="A499" s="62"/>
      <c r="B499" s="63"/>
      <c r="C499" s="63"/>
      <c r="D499" s="63"/>
      <c r="E499" s="63"/>
      <c r="F499" s="63"/>
      <c r="G499" s="63"/>
      <c r="H499" s="63"/>
      <c r="I499" s="63"/>
      <c r="J499" s="63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>
      <c r="A500" s="62"/>
      <c r="B500" s="63"/>
      <c r="C500" s="63"/>
      <c r="D500" s="63"/>
      <c r="E500" s="63"/>
      <c r="F500" s="63"/>
      <c r="G500" s="63"/>
      <c r="H500" s="63"/>
      <c r="I500" s="63"/>
      <c r="J500" s="63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>
      <c r="A501" s="62"/>
      <c r="B501" s="63"/>
      <c r="C501" s="63"/>
      <c r="D501" s="63"/>
      <c r="E501" s="63"/>
      <c r="F501" s="63"/>
      <c r="G501" s="63"/>
      <c r="H501" s="63"/>
      <c r="I501" s="63"/>
      <c r="J501" s="63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>
      <c r="A502" s="62"/>
      <c r="B502" s="63"/>
      <c r="C502" s="63"/>
      <c r="D502" s="63"/>
      <c r="E502" s="63"/>
      <c r="F502" s="63"/>
      <c r="G502" s="63"/>
      <c r="H502" s="63"/>
      <c r="I502" s="63"/>
      <c r="J502" s="63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>
      <c r="A503" s="62"/>
      <c r="B503" s="63"/>
      <c r="C503" s="63"/>
      <c r="D503" s="63"/>
      <c r="E503" s="63"/>
      <c r="F503" s="63"/>
      <c r="G503" s="63"/>
      <c r="H503" s="63"/>
      <c r="I503" s="63"/>
      <c r="J503" s="63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>
      <c r="A504" s="62"/>
      <c r="B504" s="63"/>
      <c r="C504" s="63"/>
      <c r="D504" s="63"/>
      <c r="E504" s="63"/>
      <c r="F504" s="63"/>
      <c r="G504" s="63"/>
      <c r="H504" s="63"/>
      <c r="I504" s="63"/>
      <c r="J504" s="63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>
      <c r="A505" s="62"/>
      <c r="B505" s="63"/>
      <c r="C505" s="63"/>
      <c r="D505" s="63"/>
      <c r="E505" s="63"/>
      <c r="F505" s="63"/>
      <c r="G505" s="63"/>
      <c r="H505" s="63"/>
      <c r="I505" s="63"/>
      <c r="J505" s="63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>
      <c r="A506" s="62"/>
      <c r="B506" s="63"/>
      <c r="C506" s="63"/>
      <c r="D506" s="63"/>
      <c r="E506" s="63"/>
      <c r="F506" s="63"/>
      <c r="G506" s="63"/>
      <c r="H506" s="63"/>
      <c r="I506" s="63"/>
      <c r="J506" s="63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>
      <c r="A507" s="62"/>
      <c r="B507" s="63"/>
      <c r="C507" s="63"/>
      <c r="D507" s="63"/>
      <c r="E507" s="63"/>
      <c r="F507" s="63"/>
      <c r="G507" s="63"/>
      <c r="H507" s="63"/>
      <c r="I507" s="63"/>
      <c r="J507" s="63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>
      <c r="A508" s="62"/>
      <c r="B508" s="63"/>
      <c r="C508" s="63"/>
      <c r="D508" s="63"/>
      <c r="E508" s="63"/>
      <c r="F508" s="63"/>
      <c r="G508" s="63"/>
      <c r="H508" s="63"/>
      <c r="I508" s="63"/>
      <c r="J508" s="63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>
      <c r="A509" s="62"/>
      <c r="B509" s="63"/>
      <c r="C509" s="63"/>
      <c r="D509" s="63"/>
      <c r="E509" s="63"/>
      <c r="F509" s="63"/>
      <c r="G509" s="63"/>
      <c r="H509" s="63"/>
      <c r="I509" s="63"/>
      <c r="J509" s="63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>
      <c r="A510" s="62"/>
      <c r="B510" s="63"/>
      <c r="C510" s="63"/>
      <c r="D510" s="63"/>
      <c r="E510" s="63"/>
      <c r="F510" s="63"/>
      <c r="G510" s="63"/>
      <c r="H510" s="63"/>
      <c r="I510" s="63"/>
      <c r="J510" s="63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>
      <c r="A511" s="62"/>
      <c r="B511" s="63"/>
      <c r="C511" s="63"/>
      <c r="D511" s="63"/>
      <c r="E511" s="63"/>
      <c r="F511" s="63"/>
      <c r="G511" s="63"/>
      <c r="H511" s="63"/>
      <c r="I511" s="63"/>
      <c r="J511" s="63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>
      <c r="A512" s="62"/>
      <c r="B512" s="63"/>
      <c r="C512" s="63"/>
      <c r="D512" s="63"/>
      <c r="E512" s="63"/>
      <c r="F512" s="63"/>
      <c r="G512" s="63"/>
      <c r="H512" s="63"/>
      <c r="I512" s="63"/>
      <c r="J512" s="63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>
      <c r="A513" s="62"/>
      <c r="B513" s="63"/>
      <c r="C513" s="63"/>
      <c r="D513" s="63"/>
      <c r="E513" s="63"/>
      <c r="F513" s="63"/>
      <c r="G513" s="63"/>
      <c r="H513" s="63"/>
      <c r="I513" s="63"/>
      <c r="J513" s="63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>
      <c r="A514" s="62"/>
      <c r="B514" s="63"/>
      <c r="C514" s="63"/>
      <c r="D514" s="63"/>
      <c r="E514" s="63"/>
      <c r="F514" s="63"/>
      <c r="G514" s="63"/>
      <c r="H514" s="63"/>
      <c r="I514" s="63"/>
      <c r="J514" s="63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>
      <c r="A515" s="62"/>
      <c r="B515" s="63"/>
      <c r="C515" s="63"/>
      <c r="D515" s="63"/>
      <c r="E515" s="63"/>
      <c r="F515" s="63"/>
      <c r="G515" s="63"/>
      <c r="H515" s="63"/>
      <c r="I515" s="63"/>
      <c r="J515" s="63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>
      <c r="A516" s="62"/>
      <c r="B516" s="63"/>
      <c r="C516" s="63"/>
      <c r="D516" s="63"/>
      <c r="E516" s="63"/>
      <c r="F516" s="63"/>
      <c r="G516" s="63"/>
      <c r="H516" s="63"/>
      <c r="I516" s="63"/>
      <c r="J516" s="63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>
      <c r="A517" s="62"/>
      <c r="B517" s="63"/>
      <c r="C517" s="63"/>
      <c r="D517" s="63"/>
      <c r="E517" s="63"/>
      <c r="F517" s="63"/>
      <c r="G517" s="63"/>
      <c r="H517" s="63"/>
      <c r="I517" s="63"/>
      <c r="J517" s="63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>
      <c r="A518" s="62"/>
      <c r="B518" s="63"/>
      <c r="C518" s="63"/>
      <c r="D518" s="63"/>
      <c r="E518" s="63"/>
      <c r="F518" s="63"/>
      <c r="G518" s="63"/>
      <c r="H518" s="63"/>
      <c r="I518" s="63"/>
      <c r="J518" s="63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>
      <c r="A519" s="62"/>
      <c r="B519" s="63"/>
      <c r="C519" s="63"/>
      <c r="D519" s="63"/>
      <c r="E519" s="63"/>
      <c r="F519" s="63"/>
      <c r="G519" s="63"/>
      <c r="H519" s="63"/>
      <c r="I519" s="63"/>
      <c r="J519" s="63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>
      <c r="A520" s="62"/>
      <c r="B520" s="63"/>
      <c r="C520" s="63"/>
      <c r="D520" s="63"/>
      <c r="E520" s="63"/>
      <c r="F520" s="63"/>
      <c r="G520" s="63"/>
      <c r="H520" s="63"/>
      <c r="I520" s="63"/>
      <c r="J520" s="63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>
      <c r="A521" s="62"/>
      <c r="B521" s="63"/>
      <c r="C521" s="63"/>
      <c r="D521" s="63"/>
      <c r="E521" s="63"/>
      <c r="F521" s="63"/>
      <c r="G521" s="63"/>
      <c r="H521" s="63"/>
      <c r="I521" s="63"/>
      <c r="J521" s="63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>
      <c r="A522" s="62"/>
      <c r="B522" s="63"/>
      <c r="C522" s="63"/>
      <c r="D522" s="63"/>
      <c r="E522" s="63"/>
      <c r="F522" s="63"/>
      <c r="G522" s="63"/>
      <c r="H522" s="63"/>
      <c r="I522" s="63"/>
      <c r="J522" s="63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>
      <c r="A523" s="62"/>
      <c r="B523" s="63"/>
      <c r="C523" s="63"/>
      <c r="D523" s="63"/>
      <c r="E523" s="63"/>
      <c r="F523" s="63"/>
      <c r="G523" s="63"/>
      <c r="H523" s="63"/>
      <c r="I523" s="63"/>
      <c r="J523" s="63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>
      <c r="A524" s="62"/>
      <c r="B524" s="63"/>
      <c r="C524" s="63"/>
      <c r="D524" s="63"/>
      <c r="E524" s="63"/>
      <c r="F524" s="63"/>
      <c r="G524" s="63"/>
      <c r="H524" s="63"/>
      <c r="I524" s="63"/>
      <c r="J524" s="63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>
      <c r="A525" s="62"/>
      <c r="B525" s="63"/>
      <c r="C525" s="63"/>
      <c r="D525" s="63"/>
      <c r="E525" s="63"/>
      <c r="F525" s="63"/>
      <c r="G525" s="63"/>
      <c r="H525" s="63"/>
      <c r="I525" s="63"/>
      <c r="J525" s="63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>
      <c r="A526" s="62"/>
      <c r="B526" s="63"/>
      <c r="C526" s="63"/>
      <c r="D526" s="63"/>
      <c r="E526" s="63"/>
      <c r="F526" s="63"/>
      <c r="G526" s="63"/>
      <c r="H526" s="63"/>
      <c r="I526" s="63"/>
      <c r="J526" s="63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>
      <c r="A527" s="62"/>
      <c r="B527" s="63"/>
      <c r="C527" s="63"/>
      <c r="D527" s="63"/>
      <c r="E527" s="63"/>
      <c r="F527" s="63"/>
      <c r="G527" s="63"/>
      <c r="H527" s="63"/>
      <c r="I527" s="63"/>
      <c r="J527" s="63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>
      <c r="A528" s="62"/>
      <c r="B528" s="63"/>
      <c r="C528" s="63"/>
      <c r="D528" s="63"/>
      <c r="E528" s="63"/>
      <c r="F528" s="63"/>
      <c r="G528" s="63"/>
      <c r="H528" s="63"/>
      <c r="I528" s="63"/>
      <c r="J528" s="63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>
      <c r="A529" s="62"/>
      <c r="B529" s="63"/>
      <c r="C529" s="63"/>
      <c r="D529" s="63"/>
      <c r="E529" s="63"/>
      <c r="F529" s="63"/>
      <c r="G529" s="63"/>
      <c r="H529" s="63"/>
      <c r="I529" s="63"/>
      <c r="J529" s="63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>
      <c r="A530" s="62"/>
      <c r="B530" s="63"/>
      <c r="C530" s="63"/>
      <c r="D530" s="63"/>
      <c r="E530" s="63"/>
      <c r="F530" s="63"/>
      <c r="G530" s="63"/>
      <c r="H530" s="63"/>
      <c r="I530" s="63"/>
      <c r="J530" s="63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>
      <c r="A531" s="62"/>
      <c r="B531" s="63"/>
      <c r="C531" s="63"/>
      <c r="D531" s="63"/>
      <c r="E531" s="63"/>
      <c r="F531" s="63"/>
      <c r="G531" s="63"/>
      <c r="H531" s="63"/>
      <c r="I531" s="63"/>
      <c r="J531" s="63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>
      <c r="A532" s="62"/>
      <c r="B532" s="63"/>
      <c r="C532" s="63"/>
      <c r="D532" s="63"/>
      <c r="E532" s="63"/>
      <c r="F532" s="63"/>
      <c r="G532" s="63"/>
      <c r="H532" s="63"/>
      <c r="I532" s="63"/>
      <c r="J532" s="63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>
      <c r="A533" s="62"/>
      <c r="B533" s="63"/>
      <c r="C533" s="63"/>
      <c r="D533" s="63"/>
      <c r="E533" s="63"/>
      <c r="F533" s="63"/>
      <c r="G533" s="63"/>
      <c r="H533" s="63"/>
      <c r="I533" s="63"/>
      <c r="J533" s="63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>
      <c r="A534" s="62"/>
      <c r="B534" s="63"/>
      <c r="C534" s="63"/>
      <c r="D534" s="63"/>
      <c r="E534" s="63"/>
      <c r="F534" s="63"/>
      <c r="G534" s="63"/>
      <c r="H534" s="63"/>
      <c r="I534" s="63"/>
      <c r="J534" s="63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>
      <c r="A535" s="62"/>
      <c r="B535" s="63"/>
      <c r="C535" s="63"/>
      <c r="D535" s="63"/>
      <c r="E535" s="63"/>
      <c r="F535" s="63"/>
      <c r="G535" s="63"/>
      <c r="H535" s="63"/>
      <c r="I535" s="63"/>
      <c r="J535" s="63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>
      <c r="A536" s="62"/>
      <c r="B536" s="63"/>
      <c r="C536" s="63"/>
      <c r="D536" s="63"/>
      <c r="E536" s="63"/>
      <c r="F536" s="63"/>
      <c r="G536" s="63"/>
      <c r="H536" s="63"/>
      <c r="I536" s="63"/>
      <c r="J536" s="63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>
      <c r="A537" s="62"/>
      <c r="B537" s="63"/>
      <c r="C537" s="63"/>
      <c r="D537" s="63"/>
      <c r="E537" s="63"/>
      <c r="F537" s="63"/>
      <c r="G537" s="63"/>
      <c r="H537" s="63"/>
      <c r="I537" s="63"/>
      <c r="J537" s="63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>
      <c r="A538" s="62"/>
      <c r="B538" s="63"/>
      <c r="C538" s="63"/>
      <c r="D538" s="63"/>
      <c r="E538" s="63"/>
      <c r="F538" s="63"/>
      <c r="G538" s="63"/>
      <c r="H538" s="63"/>
      <c r="I538" s="63"/>
      <c r="J538" s="63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>
      <c r="A539" s="62"/>
      <c r="B539" s="63"/>
      <c r="C539" s="63"/>
      <c r="D539" s="63"/>
      <c r="E539" s="63"/>
      <c r="F539" s="63"/>
      <c r="G539" s="63"/>
      <c r="H539" s="63"/>
      <c r="I539" s="63"/>
      <c r="J539" s="63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>
      <c r="A540" s="62"/>
      <c r="B540" s="63"/>
      <c r="C540" s="63"/>
      <c r="D540" s="63"/>
      <c r="E540" s="63"/>
      <c r="F540" s="63"/>
      <c r="G540" s="63"/>
      <c r="H540" s="63"/>
      <c r="I540" s="63"/>
      <c r="J540" s="63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>
      <c r="A541" s="62"/>
      <c r="B541" s="63"/>
      <c r="C541" s="63"/>
      <c r="D541" s="63"/>
      <c r="E541" s="63"/>
      <c r="F541" s="63"/>
      <c r="G541" s="63"/>
      <c r="H541" s="63"/>
      <c r="I541" s="63"/>
      <c r="J541" s="63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>
      <c r="A542" s="62"/>
      <c r="B542" s="63"/>
      <c r="C542" s="63"/>
      <c r="D542" s="63"/>
      <c r="E542" s="63"/>
      <c r="F542" s="63"/>
      <c r="G542" s="63"/>
      <c r="H542" s="63"/>
      <c r="I542" s="63"/>
      <c r="J542" s="63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>
      <c r="A543" s="62"/>
      <c r="B543" s="63"/>
      <c r="C543" s="63"/>
      <c r="D543" s="63"/>
      <c r="E543" s="63"/>
      <c r="F543" s="63"/>
      <c r="G543" s="63"/>
      <c r="H543" s="63"/>
      <c r="I543" s="63"/>
      <c r="J543" s="63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>
      <c r="A544" s="62"/>
      <c r="B544" s="63"/>
      <c r="C544" s="63"/>
      <c r="D544" s="63"/>
      <c r="E544" s="63"/>
      <c r="F544" s="63"/>
      <c r="G544" s="63"/>
      <c r="H544" s="63"/>
      <c r="I544" s="63"/>
      <c r="J544" s="63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>
      <c r="A545" s="62"/>
      <c r="B545" s="63"/>
      <c r="C545" s="63"/>
      <c r="D545" s="63"/>
      <c r="E545" s="63"/>
      <c r="F545" s="63"/>
      <c r="G545" s="63"/>
      <c r="H545" s="63"/>
      <c r="I545" s="63"/>
      <c r="J545" s="63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>
      <c r="A546" s="62"/>
      <c r="B546" s="63"/>
      <c r="C546" s="63"/>
      <c r="D546" s="63"/>
      <c r="E546" s="63"/>
      <c r="F546" s="63"/>
      <c r="G546" s="63"/>
      <c r="H546" s="63"/>
      <c r="I546" s="63"/>
      <c r="J546" s="63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>
      <c r="A547" s="62"/>
      <c r="B547" s="63"/>
      <c r="C547" s="63"/>
      <c r="D547" s="63"/>
      <c r="E547" s="63"/>
      <c r="F547" s="63"/>
      <c r="G547" s="63"/>
      <c r="H547" s="63"/>
      <c r="I547" s="63"/>
      <c r="J547" s="63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>
      <c r="A548" s="62"/>
      <c r="B548" s="63"/>
      <c r="C548" s="63"/>
      <c r="D548" s="63"/>
      <c r="E548" s="63"/>
      <c r="F548" s="63"/>
      <c r="G548" s="63"/>
      <c r="H548" s="63"/>
      <c r="I548" s="63"/>
      <c r="J548" s="63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>
      <c r="A549" s="62"/>
      <c r="B549" s="63"/>
      <c r="C549" s="63"/>
      <c r="D549" s="63"/>
      <c r="E549" s="63"/>
      <c r="F549" s="63"/>
      <c r="G549" s="63"/>
      <c r="H549" s="63"/>
      <c r="I549" s="63"/>
      <c r="J549" s="63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>
      <c r="A550" s="62"/>
      <c r="B550" s="63"/>
      <c r="C550" s="63"/>
      <c r="D550" s="63"/>
      <c r="E550" s="63"/>
      <c r="F550" s="63"/>
      <c r="G550" s="63"/>
      <c r="H550" s="63"/>
      <c r="I550" s="63"/>
      <c r="J550" s="63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>
      <c r="A551" s="62"/>
      <c r="B551" s="63"/>
      <c r="C551" s="63"/>
      <c r="D551" s="63"/>
      <c r="E551" s="63"/>
      <c r="F551" s="63"/>
      <c r="G551" s="63"/>
      <c r="H551" s="63"/>
      <c r="I551" s="63"/>
      <c r="J551" s="63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>
      <c r="A552" s="62"/>
      <c r="B552" s="63"/>
      <c r="C552" s="63"/>
      <c r="D552" s="63"/>
      <c r="E552" s="63"/>
      <c r="F552" s="63"/>
      <c r="G552" s="63"/>
      <c r="H552" s="63"/>
      <c r="I552" s="63"/>
      <c r="J552" s="63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>
      <c r="A553" s="62"/>
      <c r="B553" s="63"/>
      <c r="C553" s="63"/>
      <c r="D553" s="63"/>
      <c r="E553" s="63"/>
      <c r="F553" s="63"/>
      <c r="G553" s="63"/>
      <c r="H553" s="63"/>
      <c r="I553" s="63"/>
      <c r="J553" s="63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>
      <c r="A554" s="62"/>
      <c r="B554" s="63"/>
      <c r="C554" s="63"/>
      <c r="D554" s="63"/>
      <c r="E554" s="63"/>
      <c r="F554" s="63"/>
      <c r="G554" s="63"/>
      <c r="H554" s="63"/>
      <c r="I554" s="63"/>
      <c r="J554" s="63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>
      <c r="A555" s="62"/>
      <c r="B555" s="63"/>
      <c r="C555" s="63"/>
      <c r="D555" s="63"/>
      <c r="E555" s="63"/>
      <c r="F555" s="63"/>
      <c r="G555" s="63"/>
      <c r="H555" s="63"/>
      <c r="I555" s="63"/>
      <c r="J555" s="63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>
      <c r="A556" s="62"/>
      <c r="B556" s="63"/>
      <c r="C556" s="63"/>
      <c r="D556" s="63"/>
      <c r="E556" s="63"/>
      <c r="F556" s="63"/>
      <c r="G556" s="63"/>
      <c r="H556" s="63"/>
      <c r="I556" s="63"/>
      <c r="J556" s="63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>
      <c r="A557" s="62"/>
      <c r="B557" s="63"/>
      <c r="C557" s="63"/>
      <c r="D557" s="63"/>
      <c r="E557" s="63"/>
      <c r="F557" s="63"/>
      <c r="G557" s="63"/>
      <c r="H557" s="63"/>
      <c r="I557" s="63"/>
      <c r="J557" s="63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>
      <c r="A558" s="62"/>
      <c r="B558" s="63"/>
      <c r="C558" s="63"/>
      <c r="D558" s="63"/>
      <c r="E558" s="63"/>
      <c r="F558" s="63"/>
      <c r="G558" s="63"/>
      <c r="H558" s="63"/>
      <c r="I558" s="63"/>
      <c r="J558" s="63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>
      <c r="A559" s="62"/>
      <c r="B559" s="63"/>
      <c r="C559" s="63"/>
      <c r="D559" s="63"/>
      <c r="E559" s="63"/>
      <c r="F559" s="63"/>
      <c r="G559" s="63"/>
      <c r="H559" s="63"/>
      <c r="I559" s="63"/>
      <c r="J559" s="63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>
      <c r="A560" s="62"/>
      <c r="B560" s="63"/>
      <c r="C560" s="63"/>
      <c r="D560" s="63"/>
      <c r="E560" s="63"/>
      <c r="F560" s="63"/>
      <c r="G560" s="63"/>
      <c r="H560" s="63"/>
      <c r="I560" s="63"/>
      <c r="J560" s="63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>
      <c r="A561" s="62"/>
      <c r="B561" s="63"/>
      <c r="C561" s="63"/>
      <c r="D561" s="63"/>
      <c r="E561" s="63"/>
      <c r="F561" s="63"/>
      <c r="G561" s="63"/>
      <c r="H561" s="63"/>
      <c r="I561" s="63"/>
      <c r="J561" s="63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>
      <c r="A562" s="62"/>
      <c r="B562" s="63"/>
      <c r="C562" s="63"/>
      <c r="D562" s="63"/>
      <c r="E562" s="63"/>
      <c r="F562" s="63"/>
      <c r="G562" s="63"/>
      <c r="H562" s="63"/>
      <c r="I562" s="63"/>
      <c r="J562" s="63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>
      <c r="A563" s="62"/>
      <c r="B563" s="63"/>
      <c r="C563" s="63"/>
      <c r="D563" s="63"/>
      <c r="E563" s="63"/>
      <c r="F563" s="63"/>
      <c r="G563" s="63"/>
      <c r="H563" s="63"/>
      <c r="I563" s="63"/>
      <c r="J563" s="63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>
      <c r="A564" s="62"/>
      <c r="B564" s="63"/>
      <c r="C564" s="63"/>
      <c r="D564" s="63"/>
      <c r="E564" s="63"/>
      <c r="F564" s="63"/>
      <c r="G564" s="63"/>
      <c r="H564" s="63"/>
      <c r="I564" s="63"/>
      <c r="J564" s="63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>
      <c r="A565" s="62"/>
      <c r="B565" s="63"/>
      <c r="C565" s="63"/>
      <c r="D565" s="63"/>
      <c r="E565" s="63"/>
      <c r="F565" s="63"/>
      <c r="G565" s="63"/>
      <c r="H565" s="63"/>
      <c r="I565" s="63"/>
      <c r="J565" s="63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>
      <c r="A566" s="62"/>
      <c r="B566" s="63"/>
      <c r="C566" s="63"/>
      <c r="D566" s="63"/>
      <c r="E566" s="63"/>
      <c r="F566" s="63"/>
      <c r="G566" s="63"/>
      <c r="H566" s="63"/>
      <c r="I566" s="63"/>
      <c r="J566" s="63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>
      <c r="A567" s="62"/>
      <c r="B567" s="63"/>
      <c r="C567" s="63"/>
      <c r="D567" s="63"/>
      <c r="E567" s="63"/>
      <c r="F567" s="63"/>
      <c r="G567" s="63"/>
      <c r="H567" s="63"/>
      <c r="I567" s="63"/>
      <c r="J567" s="63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>
      <c r="A568" s="62"/>
      <c r="B568" s="63"/>
      <c r="C568" s="63"/>
      <c r="D568" s="63"/>
      <c r="E568" s="63"/>
      <c r="F568" s="63"/>
      <c r="G568" s="63"/>
      <c r="H568" s="63"/>
      <c r="I568" s="63"/>
      <c r="J568" s="63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>
      <c r="A569" s="62"/>
      <c r="B569" s="63"/>
      <c r="C569" s="63"/>
      <c r="D569" s="63"/>
      <c r="E569" s="63"/>
      <c r="F569" s="63"/>
      <c r="G569" s="63"/>
      <c r="H569" s="63"/>
      <c r="I569" s="63"/>
      <c r="J569" s="63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>
      <c r="A570" s="62"/>
      <c r="B570" s="63"/>
      <c r="C570" s="63"/>
      <c r="D570" s="63"/>
      <c r="E570" s="63"/>
      <c r="F570" s="63"/>
      <c r="G570" s="63"/>
      <c r="H570" s="63"/>
      <c r="I570" s="63"/>
      <c r="J570" s="63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>
      <c r="A571" s="62"/>
      <c r="B571" s="63"/>
      <c r="C571" s="63"/>
      <c r="D571" s="63"/>
      <c r="E571" s="63"/>
      <c r="F571" s="63"/>
      <c r="G571" s="63"/>
      <c r="H571" s="63"/>
      <c r="I571" s="63"/>
      <c r="J571" s="63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>
      <c r="A572" s="62"/>
      <c r="B572" s="63"/>
      <c r="C572" s="63"/>
      <c r="D572" s="63"/>
      <c r="E572" s="63"/>
      <c r="F572" s="63"/>
      <c r="G572" s="63"/>
      <c r="H572" s="63"/>
      <c r="I572" s="63"/>
      <c r="J572" s="63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>
      <c r="A573" s="62"/>
      <c r="B573" s="63"/>
      <c r="C573" s="63"/>
      <c r="D573" s="63"/>
      <c r="E573" s="63"/>
      <c r="F573" s="63"/>
      <c r="G573" s="63"/>
      <c r="H573" s="63"/>
      <c r="I573" s="63"/>
      <c r="J573" s="63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>
      <c r="A574" s="62"/>
      <c r="B574" s="63"/>
      <c r="C574" s="63"/>
      <c r="D574" s="63"/>
      <c r="E574" s="63"/>
      <c r="F574" s="63"/>
      <c r="G574" s="63"/>
      <c r="H574" s="63"/>
      <c r="I574" s="63"/>
      <c r="J574" s="63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>
      <c r="A575" s="62"/>
      <c r="B575" s="63"/>
      <c r="C575" s="63"/>
      <c r="D575" s="63"/>
      <c r="E575" s="63"/>
      <c r="F575" s="63"/>
      <c r="G575" s="63"/>
      <c r="H575" s="63"/>
      <c r="I575" s="63"/>
      <c r="J575" s="63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>
      <c r="A576" s="62"/>
      <c r="B576" s="63"/>
      <c r="C576" s="63"/>
      <c r="D576" s="63"/>
      <c r="E576" s="63"/>
      <c r="F576" s="63"/>
      <c r="G576" s="63"/>
      <c r="H576" s="63"/>
      <c r="I576" s="63"/>
      <c r="J576" s="63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>
      <c r="A577" s="62"/>
      <c r="B577" s="63"/>
      <c r="C577" s="63"/>
      <c r="D577" s="63"/>
      <c r="E577" s="63"/>
      <c r="F577" s="63"/>
      <c r="G577" s="63"/>
      <c r="H577" s="63"/>
      <c r="I577" s="63"/>
      <c r="J577" s="63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>
      <c r="A578" s="62"/>
      <c r="B578" s="63"/>
      <c r="C578" s="63"/>
      <c r="D578" s="63"/>
      <c r="E578" s="63"/>
      <c r="F578" s="63"/>
      <c r="G578" s="63"/>
      <c r="H578" s="63"/>
      <c r="I578" s="63"/>
      <c r="J578" s="63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>
      <c r="A579" s="62"/>
      <c r="B579" s="63"/>
      <c r="C579" s="63"/>
      <c r="D579" s="63"/>
      <c r="E579" s="63"/>
      <c r="F579" s="63"/>
      <c r="G579" s="63"/>
      <c r="H579" s="63"/>
      <c r="I579" s="63"/>
      <c r="J579" s="63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>
      <c r="A580" s="62"/>
      <c r="B580" s="63"/>
      <c r="C580" s="63"/>
      <c r="D580" s="63"/>
      <c r="E580" s="63"/>
      <c r="F580" s="63"/>
      <c r="G580" s="63"/>
      <c r="H580" s="63"/>
      <c r="I580" s="63"/>
      <c r="J580" s="63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>
      <c r="A581" s="62"/>
      <c r="B581" s="63"/>
      <c r="C581" s="63"/>
      <c r="D581" s="63"/>
      <c r="E581" s="63"/>
      <c r="F581" s="63"/>
      <c r="G581" s="63"/>
      <c r="H581" s="63"/>
      <c r="I581" s="63"/>
      <c r="J581" s="63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>
      <c r="A582" s="62"/>
      <c r="B582" s="63"/>
      <c r="C582" s="63"/>
      <c r="D582" s="63"/>
      <c r="E582" s="63"/>
      <c r="F582" s="63"/>
      <c r="G582" s="63"/>
      <c r="H582" s="63"/>
      <c r="I582" s="63"/>
      <c r="J582" s="63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>
      <c r="A583" s="62"/>
      <c r="B583" s="63"/>
      <c r="C583" s="63"/>
      <c r="D583" s="63"/>
      <c r="E583" s="63"/>
      <c r="F583" s="63"/>
      <c r="G583" s="63"/>
      <c r="H583" s="63"/>
      <c r="I583" s="63"/>
      <c r="J583" s="63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>
      <c r="A584" s="62"/>
      <c r="B584" s="63"/>
      <c r="C584" s="63"/>
      <c r="D584" s="63"/>
      <c r="E584" s="63"/>
      <c r="F584" s="63"/>
      <c r="G584" s="63"/>
      <c r="H584" s="63"/>
      <c r="I584" s="63"/>
      <c r="J584" s="63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>
      <c r="A585" s="62"/>
      <c r="B585" s="63"/>
      <c r="C585" s="63"/>
      <c r="D585" s="63"/>
      <c r="E585" s="63"/>
      <c r="F585" s="63"/>
      <c r="G585" s="63"/>
      <c r="H585" s="63"/>
      <c r="I585" s="63"/>
      <c r="J585" s="63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>
      <c r="A586" s="62"/>
      <c r="B586" s="63"/>
      <c r="C586" s="63"/>
      <c r="D586" s="63"/>
      <c r="E586" s="63"/>
      <c r="F586" s="63"/>
      <c r="G586" s="63"/>
      <c r="H586" s="63"/>
      <c r="I586" s="63"/>
      <c r="J586" s="63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>
      <c r="A587" s="62"/>
      <c r="B587" s="63"/>
      <c r="C587" s="63"/>
      <c r="D587" s="63"/>
      <c r="E587" s="63"/>
      <c r="F587" s="63"/>
      <c r="G587" s="63"/>
      <c r="H587" s="63"/>
      <c r="I587" s="63"/>
      <c r="J587" s="63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>
      <c r="A588" s="62"/>
      <c r="B588" s="63"/>
      <c r="C588" s="63"/>
      <c r="D588" s="63"/>
      <c r="E588" s="63"/>
      <c r="F588" s="63"/>
      <c r="G588" s="63"/>
      <c r="H588" s="63"/>
      <c r="I588" s="63"/>
      <c r="J588" s="63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>
      <c r="A589" s="62"/>
      <c r="B589" s="63"/>
      <c r="C589" s="63"/>
      <c r="D589" s="63"/>
      <c r="E589" s="63"/>
      <c r="F589" s="63"/>
      <c r="G589" s="63"/>
      <c r="H589" s="63"/>
      <c r="I589" s="63"/>
      <c r="J589" s="63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>
      <c r="A590" s="62"/>
      <c r="B590" s="63"/>
      <c r="C590" s="63"/>
      <c r="D590" s="63"/>
      <c r="E590" s="63"/>
      <c r="F590" s="63"/>
      <c r="G590" s="63"/>
      <c r="H590" s="63"/>
      <c r="I590" s="63"/>
      <c r="J590" s="63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>
      <c r="A591" s="62"/>
      <c r="B591" s="63"/>
      <c r="C591" s="63"/>
      <c r="D591" s="63"/>
      <c r="E591" s="63"/>
      <c r="F591" s="63"/>
      <c r="G591" s="63"/>
      <c r="H591" s="63"/>
      <c r="I591" s="63"/>
      <c r="J591" s="63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>
      <c r="A592" s="62"/>
      <c r="B592" s="63"/>
      <c r="C592" s="63"/>
      <c r="D592" s="63"/>
      <c r="E592" s="63"/>
      <c r="F592" s="63"/>
      <c r="G592" s="63"/>
      <c r="H592" s="63"/>
      <c r="I592" s="63"/>
      <c r="J592" s="63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>
      <c r="A593" s="62"/>
      <c r="B593" s="63"/>
      <c r="C593" s="63"/>
      <c r="D593" s="63"/>
      <c r="E593" s="63"/>
      <c r="F593" s="63"/>
      <c r="G593" s="63"/>
      <c r="H593" s="63"/>
      <c r="I593" s="63"/>
      <c r="J593" s="63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>
      <c r="A594" s="62"/>
      <c r="B594" s="63"/>
      <c r="C594" s="63"/>
      <c r="D594" s="63"/>
      <c r="E594" s="63"/>
      <c r="F594" s="63"/>
      <c r="G594" s="63"/>
      <c r="H594" s="63"/>
      <c r="I594" s="63"/>
      <c r="J594" s="63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>
      <c r="A595" s="62"/>
      <c r="B595" s="63"/>
      <c r="C595" s="63"/>
      <c r="D595" s="63"/>
      <c r="E595" s="63"/>
      <c r="F595" s="63"/>
      <c r="G595" s="63"/>
      <c r="H595" s="63"/>
      <c r="I595" s="63"/>
      <c r="J595" s="63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>
      <c r="A596" s="62"/>
      <c r="B596" s="63"/>
      <c r="C596" s="63"/>
      <c r="D596" s="63"/>
      <c r="E596" s="63"/>
      <c r="F596" s="63"/>
      <c r="G596" s="63"/>
      <c r="H596" s="63"/>
      <c r="I596" s="63"/>
      <c r="J596" s="63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>
      <c r="A597" s="62"/>
      <c r="B597" s="63"/>
      <c r="C597" s="63"/>
      <c r="D597" s="63"/>
      <c r="E597" s="63"/>
      <c r="F597" s="63"/>
      <c r="G597" s="63"/>
      <c r="H597" s="63"/>
      <c r="I597" s="63"/>
      <c r="J597" s="63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>
      <c r="A598" s="62"/>
      <c r="B598" s="63"/>
      <c r="C598" s="63"/>
      <c r="D598" s="63"/>
      <c r="E598" s="63"/>
      <c r="F598" s="63"/>
      <c r="G598" s="63"/>
      <c r="H598" s="63"/>
      <c r="I598" s="63"/>
      <c r="J598" s="63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>
      <c r="A599" s="62"/>
      <c r="B599" s="63"/>
      <c r="C599" s="63"/>
      <c r="D599" s="63"/>
      <c r="E599" s="63"/>
      <c r="F599" s="63"/>
      <c r="G599" s="63"/>
      <c r="H599" s="63"/>
      <c r="I599" s="63"/>
      <c r="J599" s="63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>
      <c r="A600" s="62"/>
      <c r="B600" s="63"/>
      <c r="C600" s="63"/>
      <c r="D600" s="63"/>
      <c r="E600" s="63"/>
      <c r="F600" s="63"/>
      <c r="G600" s="63"/>
      <c r="H600" s="63"/>
      <c r="I600" s="63"/>
      <c r="J600" s="63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>
      <c r="A601" s="62"/>
      <c r="B601" s="63"/>
      <c r="C601" s="63"/>
      <c r="D601" s="63"/>
      <c r="E601" s="63"/>
      <c r="F601" s="63"/>
      <c r="G601" s="63"/>
      <c r="H601" s="63"/>
      <c r="I601" s="63"/>
      <c r="J601" s="63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>
      <c r="A602" s="62"/>
      <c r="B602" s="63"/>
      <c r="C602" s="63"/>
      <c r="D602" s="63"/>
      <c r="E602" s="63"/>
      <c r="F602" s="63"/>
      <c r="G602" s="63"/>
      <c r="H602" s="63"/>
      <c r="I602" s="63"/>
      <c r="J602" s="63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>
      <c r="A603" s="62"/>
      <c r="B603" s="63"/>
      <c r="C603" s="63"/>
      <c r="D603" s="63"/>
      <c r="E603" s="63"/>
      <c r="F603" s="63"/>
      <c r="G603" s="63"/>
      <c r="H603" s="63"/>
      <c r="I603" s="63"/>
      <c r="J603" s="63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>
      <c r="A604" s="62"/>
      <c r="B604" s="63"/>
      <c r="C604" s="63"/>
      <c r="D604" s="63"/>
      <c r="E604" s="63"/>
      <c r="F604" s="63"/>
      <c r="G604" s="63"/>
      <c r="H604" s="63"/>
      <c r="I604" s="63"/>
      <c r="J604" s="63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>
      <c r="A605" s="62"/>
      <c r="B605" s="63"/>
      <c r="C605" s="63"/>
      <c r="D605" s="63"/>
      <c r="E605" s="63"/>
      <c r="F605" s="63"/>
      <c r="G605" s="63"/>
      <c r="H605" s="63"/>
      <c r="I605" s="63"/>
      <c r="J605" s="63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>
      <c r="A606" s="62"/>
      <c r="B606" s="63"/>
      <c r="C606" s="63"/>
      <c r="D606" s="63"/>
      <c r="E606" s="63"/>
      <c r="F606" s="63"/>
      <c r="G606" s="63"/>
      <c r="H606" s="63"/>
      <c r="I606" s="63"/>
      <c r="J606" s="63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>
      <c r="A607" s="62"/>
      <c r="B607" s="63"/>
      <c r="C607" s="63"/>
      <c r="D607" s="63"/>
      <c r="E607" s="63"/>
      <c r="F607" s="63"/>
      <c r="G607" s="63"/>
      <c r="H607" s="63"/>
      <c r="I607" s="63"/>
      <c r="J607" s="63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>
      <c r="A608" s="62"/>
      <c r="B608" s="63"/>
      <c r="C608" s="63"/>
      <c r="D608" s="63"/>
      <c r="E608" s="63"/>
      <c r="F608" s="63"/>
      <c r="G608" s="63"/>
      <c r="H608" s="63"/>
      <c r="I608" s="63"/>
      <c r="J608" s="63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>
      <c r="A609" s="62"/>
      <c r="B609" s="63"/>
      <c r="C609" s="63"/>
      <c r="D609" s="63"/>
      <c r="E609" s="63"/>
      <c r="F609" s="63"/>
      <c r="G609" s="63"/>
      <c r="H609" s="63"/>
      <c r="I609" s="63"/>
      <c r="J609" s="63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>
      <c r="A610" s="62"/>
      <c r="B610" s="63"/>
      <c r="C610" s="63"/>
      <c r="D610" s="63"/>
      <c r="E610" s="63"/>
      <c r="F610" s="63"/>
      <c r="G610" s="63"/>
      <c r="H610" s="63"/>
      <c r="I610" s="63"/>
      <c r="J610" s="63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>
      <c r="A611" s="62"/>
      <c r="B611" s="63"/>
      <c r="C611" s="63"/>
      <c r="D611" s="63"/>
      <c r="E611" s="63"/>
      <c r="F611" s="63"/>
      <c r="G611" s="63"/>
      <c r="H611" s="63"/>
      <c r="I611" s="63"/>
      <c r="J611" s="63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>
      <c r="A612" s="62"/>
      <c r="B612" s="63"/>
      <c r="C612" s="63"/>
      <c r="D612" s="63"/>
      <c r="E612" s="63"/>
      <c r="F612" s="63"/>
      <c r="G612" s="63"/>
      <c r="H612" s="63"/>
      <c r="I612" s="63"/>
      <c r="J612" s="63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>
      <c r="A613" s="62"/>
      <c r="B613" s="63"/>
      <c r="C613" s="63"/>
      <c r="D613" s="63"/>
      <c r="E613" s="63"/>
      <c r="F613" s="63"/>
      <c r="G613" s="63"/>
      <c r="H613" s="63"/>
      <c r="I613" s="63"/>
      <c r="J613" s="63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>
      <c r="A614" s="62"/>
      <c r="B614" s="63"/>
      <c r="C614" s="63"/>
      <c r="D614" s="63"/>
      <c r="E614" s="63"/>
      <c r="F614" s="63"/>
      <c r="G614" s="63"/>
      <c r="H614" s="63"/>
      <c r="I614" s="63"/>
      <c r="J614" s="63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>
      <c r="A615" s="62"/>
      <c r="B615" s="63"/>
      <c r="C615" s="63"/>
      <c r="D615" s="63"/>
      <c r="E615" s="63"/>
      <c r="F615" s="63"/>
      <c r="G615" s="63"/>
      <c r="H615" s="63"/>
      <c r="I615" s="63"/>
      <c r="J615" s="63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>
      <c r="A616" s="62"/>
      <c r="B616" s="63"/>
      <c r="C616" s="63"/>
      <c r="D616" s="63"/>
      <c r="E616" s="63"/>
      <c r="F616" s="63"/>
      <c r="G616" s="63"/>
      <c r="H616" s="63"/>
      <c r="I616" s="63"/>
      <c r="J616" s="63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>
      <c r="A617" s="62"/>
      <c r="B617" s="63"/>
      <c r="C617" s="63"/>
      <c r="D617" s="63"/>
      <c r="E617" s="63"/>
      <c r="F617" s="63"/>
      <c r="G617" s="63"/>
      <c r="H617" s="63"/>
      <c r="I617" s="63"/>
      <c r="J617" s="63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>
      <c r="A618" s="62"/>
      <c r="B618" s="63"/>
      <c r="C618" s="63"/>
      <c r="D618" s="63"/>
      <c r="E618" s="63"/>
      <c r="F618" s="63"/>
      <c r="G618" s="63"/>
      <c r="H618" s="63"/>
      <c r="I618" s="63"/>
      <c r="J618" s="63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>
      <c r="A619" s="62"/>
      <c r="B619" s="63"/>
      <c r="C619" s="63"/>
      <c r="D619" s="63"/>
      <c r="E619" s="63"/>
      <c r="F619" s="63"/>
      <c r="G619" s="63"/>
      <c r="H619" s="63"/>
      <c r="I619" s="63"/>
      <c r="J619" s="63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>
      <c r="A620" s="62"/>
      <c r="B620" s="63"/>
      <c r="C620" s="63"/>
      <c r="D620" s="63"/>
      <c r="E620" s="63"/>
      <c r="F620" s="63"/>
      <c r="G620" s="63"/>
      <c r="H620" s="63"/>
      <c r="I620" s="63"/>
      <c r="J620" s="63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>
      <c r="A621" s="62"/>
      <c r="B621" s="63"/>
      <c r="C621" s="63"/>
      <c r="D621" s="63"/>
      <c r="E621" s="63"/>
      <c r="F621" s="63"/>
      <c r="G621" s="63"/>
      <c r="H621" s="63"/>
      <c r="I621" s="63"/>
      <c r="J621" s="63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>
      <c r="A622" s="62"/>
      <c r="B622" s="63"/>
      <c r="C622" s="63"/>
      <c r="D622" s="63"/>
      <c r="E622" s="63"/>
      <c r="F622" s="63"/>
      <c r="G622" s="63"/>
      <c r="H622" s="63"/>
      <c r="I622" s="63"/>
      <c r="J622" s="63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>
      <c r="A623" s="62"/>
      <c r="B623" s="63"/>
      <c r="C623" s="63"/>
      <c r="D623" s="63"/>
      <c r="E623" s="63"/>
      <c r="F623" s="63"/>
      <c r="G623" s="63"/>
      <c r="H623" s="63"/>
      <c r="I623" s="63"/>
      <c r="J623" s="63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>
      <c r="A624" s="62"/>
      <c r="B624" s="63"/>
      <c r="C624" s="63"/>
      <c r="D624" s="63"/>
      <c r="E624" s="63"/>
      <c r="F624" s="63"/>
      <c r="G624" s="63"/>
      <c r="H624" s="63"/>
      <c r="I624" s="63"/>
      <c r="J624" s="63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>
      <c r="A625" s="62"/>
      <c r="B625" s="63"/>
      <c r="C625" s="63"/>
      <c r="D625" s="63"/>
      <c r="E625" s="63"/>
      <c r="F625" s="63"/>
      <c r="G625" s="63"/>
      <c r="H625" s="63"/>
      <c r="I625" s="63"/>
      <c r="J625" s="63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>
      <c r="A626" s="62"/>
      <c r="B626" s="63"/>
      <c r="C626" s="63"/>
      <c r="D626" s="63"/>
      <c r="E626" s="63"/>
      <c r="F626" s="63"/>
      <c r="G626" s="63"/>
      <c r="H626" s="63"/>
      <c r="I626" s="63"/>
      <c r="J626" s="63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>
      <c r="A627" s="62"/>
      <c r="B627" s="63"/>
      <c r="C627" s="63"/>
      <c r="D627" s="63"/>
      <c r="E627" s="63"/>
      <c r="F627" s="63"/>
      <c r="G627" s="63"/>
      <c r="H627" s="63"/>
      <c r="I627" s="63"/>
      <c r="J627" s="63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>
      <c r="A628" s="62"/>
      <c r="B628" s="63"/>
      <c r="C628" s="63"/>
      <c r="D628" s="63"/>
      <c r="E628" s="63"/>
      <c r="F628" s="63"/>
      <c r="G628" s="63"/>
      <c r="H628" s="63"/>
      <c r="I628" s="63"/>
      <c r="J628" s="63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>
      <c r="A629" s="62"/>
      <c r="B629" s="63"/>
      <c r="C629" s="63"/>
      <c r="D629" s="63"/>
      <c r="E629" s="63"/>
      <c r="F629" s="63"/>
      <c r="G629" s="63"/>
      <c r="H629" s="63"/>
      <c r="I629" s="63"/>
      <c r="J629" s="63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>
      <c r="A630" s="62"/>
      <c r="B630" s="63"/>
      <c r="C630" s="63"/>
      <c r="D630" s="63"/>
      <c r="E630" s="63"/>
      <c r="F630" s="63"/>
      <c r="G630" s="63"/>
      <c r="H630" s="63"/>
      <c r="I630" s="63"/>
      <c r="J630" s="63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>
      <c r="A631" s="62"/>
      <c r="B631" s="63"/>
      <c r="C631" s="63"/>
      <c r="D631" s="63"/>
      <c r="E631" s="63"/>
      <c r="F631" s="63"/>
      <c r="G631" s="63"/>
      <c r="H631" s="63"/>
      <c r="I631" s="63"/>
      <c r="J631" s="63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>
      <c r="A632" s="62"/>
      <c r="B632" s="63"/>
      <c r="C632" s="63"/>
      <c r="D632" s="63"/>
      <c r="E632" s="63"/>
      <c r="F632" s="63"/>
      <c r="G632" s="63"/>
      <c r="H632" s="63"/>
      <c r="I632" s="63"/>
      <c r="J632" s="63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>
      <c r="A633" s="62"/>
      <c r="B633" s="63"/>
      <c r="C633" s="63"/>
      <c r="D633" s="63"/>
      <c r="E633" s="63"/>
      <c r="F633" s="63"/>
      <c r="G633" s="63"/>
      <c r="H633" s="63"/>
      <c r="I633" s="63"/>
      <c r="J633" s="63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>
      <c r="A634" s="62"/>
      <c r="B634" s="63"/>
      <c r="C634" s="63"/>
      <c r="D634" s="63"/>
      <c r="E634" s="63"/>
      <c r="F634" s="63"/>
      <c r="G634" s="63"/>
      <c r="H634" s="63"/>
      <c r="I634" s="63"/>
      <c r="J634" s="63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>
      <c r="A635" s="62"/>
      <c r="B635" s="63"/>
      <c r="C635" s="63"/>
      <c r="D635" s="63"/>
      <c r="E635" s="63"/>
      <c r="F635" s="63"/>
      <c r="G635" s="63"/>
      <c r="H635" s="63"/>
      <c r="I635" s="63"/>
      <c r="J635" s="63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>
      <c r="A636" s="62"/>
      <c r="B636" s="63"/>
      <c r="C636" s="63"/>
      <c r="D636" s="63"/>
      <c r="E636" s="63"/>
      <c r="F636" s="63"/>
      <c r="G636" s="63"/>
      <c r="H636" s="63"/>
      <c r="I636" s="63"/>
      <c r="J636" s="63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>
      <c r="A637" s="62"/>
      <c r="B637" s="63"/>
      <c r="C637" s="63"/>
      <c r="D637" s="63"/>
      <c r="E637" s="63"/>
      <c r="F637" s="63"/>
      <c r="G637" s="63"/>
      <c r="H637" s="63"/>
      <c r="I637" s="63"/>
      <c r="J637" s="63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>
      <c r="A638" s="62"/>
      <c r="B638" s="63"/>
      <c r="C638" s="63"/>
      <c r="D638" s="63"/>
      <c r="E638" s="63"/>
      <c r="F638" s="63"/>
      <c r="G638" s="63"/>
      <c r="H638" s="63"/>
      <c r="I638" s="63"/>
      <c r="J638" s="63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>
      <c r="A639" s="62"/>
      <c r="B639" s="63"/>
      <c r="C639" s="63"/>
      <c r="D639" s="63"/>
      <c r="E639" s="63"/>
      <c r="F639" s="63"/>
      <c r="G639" s="63"/>
      <c r="H639" s="63"/>
      <c r="I639" s="63"/>
      <c r="J639" s="63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>
      <c r="A640" s="62"/>
      <c r="B640" s="63"/>
      <c r="C640" s="63"/>
      <c r="D640" s="63"/>
      <c r="E640" s="63"/>
      <c r="F640" s="63"/>
      <c r="G640" s="63"/>
      <c r="H640" s="63"/>
      <c r="I640" s="63"/>
      <c r="J640" s="63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>
      <c r="A641" s="62"/>
      <c r="B641" s="63"/>
      <c r="C641" s="63"/>
      <c r="D641" s="63"/>
      <c r="E641" s="63"/>
      <c r="F641" s="63"/>
      <c r="G641" s="63"/>
      <c r="H641" s="63"/>
      <c r="I641" s="63"/>
      <c r="J641" s="63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>
      <c r="A642" s="62"/>
      <c r="B642" s="63"/>
      <c r="C642" s="63"/>
      <c r="D642" s="63"/>
      <c r="E642" s="63"/>
      <c r="F642" s="63"/>
      <c r="G642" s="63"/>
      <c r="H642" s="63"/>
      <c r="I642" s="63"/>
      <c r="J642" s="63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>
      <c r="A643" s="62"/>
      <c r="B643" s="63"/>
      <c r="C643" s="63"/>
      <c r="D643" s="63"/>
      <c r="E643" s="63"/>
      <c r="F643" s="63"/>
      <c r="G643" s="63"/>
      <c r="H643" s="63"/>
      <c r="I643" s="63"/>
      <c r="J643" s="63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>
      <c r="A644" s="62"/>
      <c r="B644" s="63"/>
      <c r="C644" s="63"/>
      <c r="D644" s="63"/>
      <c r="E644" s="63"/>
      <c r="F644" s="63"/>
      <c r="G644" s="63"/>
      <c r="H644" s="63"/>
      <c r="I644" s="63"/>
      <c r="J644" s="63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>
      <c r="A645" s="62"/>
      <c r="B645" s="63"/>
      <c r="C645" s="63"/>
      <c r="D645" s="63"/>
      <c r="E645" s="63"/>
      <c r="F645" s="63"/>
      <c r="G645" s="63"/>
      <c r="H645" s="63"/>
      <c r="I645" s="63"/>
      <c r="J645" s="63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>
      <c r="A646" s="62"/>
      <c r="B646" s="63"/>
      <c r="C646" s="63"/>
      <c r="D646" s="63"/>
      <c r="E646" s="63"/>
      <c r="F646" s="63"/>
      <c r="G646" s="63"/>
      <c r="H646" s="63"/>
      <c r="I646" s="63"/>
      <c r="J646" s="63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>
      <c r="A647" s="62"/>
      <c r="B647" s="63"/>
      <c r="C647" s="63"/>
      <c r="D647" s="63"/>
      <c r="E647" s="63"/>
      <c r="F647" s="63"/>
      <c r="G647" s="63"/>
      <c r="H647" s="63"/>
      <c r="I647" s="63"/>
      <c r="J647" s="63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>
      <c r="A648" s="62"/>
      <c r="B648" s="63"/>
      <c r="C648" s="63"/>
      <c r="D648" s="63"/>
      <c r="E648" s="63"/>
      <c r="F648" s="63"/>
      <c r="G648" s="63"/>
      <c r="H648" s="63"/>
      <c r="I648" s="63"/>
      <c r="J648" s="63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>
      <c r="A649" s="62"/>
      <c r="B649" s="63"/>
      <c r="C649" s="63"/>
      <c r="D649" s="63"/>
      <c r="E649" s="63"/>
      <c r="F649" s="63"/>
      <c r="G649" s="63"/>
      <c r="H649" s="63"/>
      <c r="I649" s="63"/>
      <c r="J649" s="63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>
      <c r="A650" s="62"/>
      <c r="B650" s="63"/>
      <c r="C650" s="63"/>
      <c r="D650" s="63"/>
      <c r="E650" s="63"/>
      <c r="F650" s="63"/>
      <c r="G650" s="63"/>
      <c r="H650" s="63"/>
      <c r="I650" s="63"/>
      <c r="J650" s="63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>
      <c r="A651" s="62"/>
      <c r="B651" s="63"/>
      <c r="C651" s="63"/>
      <c r="D651" s="63"/>
      <c r="E651" s="63"/>
      <c r="F651" s="63"/>
      <c r="G651" s="63"/>
      <c r="H651" s="63"/>
      <c r="I651" s="63"/>
      <c r="J651" s="63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>
      <c r="A652" s="62"/>
      <c r="B652" s="63"/>
      <c r="C652" s="63"/>
      <c r="D652" s="63"/>
      <c r="E652" s="63"/>
      <c r="F652" s="63"/>
      <c r="G652" s="63"/>
      <c r="H652" s="63"/>
      <c r="I652" s="63"/>
      <c r="J652" s="63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>
      <c r="A653" s="62"/>
      <c r="B653" s="63"/>
      <c r="C653" s="63"/>
      <c r="D653" s="63"/>
      <c r="E653" s="63"/>
      <c r="F653" s="63"/>
      <c r="G653" s="63"/>
      <c r="H653" s="63"/>
      <c r="I653" s="63"/>
      <c r="J653" s="63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>
      <c r="A654" s="62"/>
      <c r="B654" s="63"/>
      <c r="C654" s="63"/>
      <c r="D654" s="63"/>
      <c r="E654" s="63"/>
      <c r="F654" s="63"/>
      <c r="G654" s="63"/>
      <c r="H654" s="63"/>
      <c r="I654" s="63"/>
      <c r="J654" s="63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>
      <c r="A655" s="62"/>
      <c r="B655" s="63"/>
      <c r="C655" s="63"/>
      <c r="D655" s="63"/>
      <c r="E655" s="63"/>
      <c r="F655" s="63"/>
      <c r="G655" s="63"/>
      <c r="H655" s="63"/>
      <c r="I655" s="63"/>
      <c r="J655" s="63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>
      <c r="A656" s="62"/>
      <c r="B656" s="63"/>
      <c r="C656" s="63"/>
      <c r="D656" s="63"/>
      <c r="E656" s="63"/>
      <c r="F656" s="63"/>
      <c r="G656" s="63"/>
      <c r="H656" s="63"/>
      <c r="I656" s="63"/>
      <c r="J656" s="63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>
      <c r="A657" s="62"/>
      <c r="B657" s="63"/>
      <c r="C657" s="63"/>
      <c r="D657" s="63"/>
      <c r="E657" s="63"/>
      <c r="F657" s="63"/>
      <c r="G657" s="63"/>
      <c r="H657" s="63"/>
      <c r="I657" s="63"/>
      <c r="J657" s="63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>
      <c r="A658" s="62"/>
      <c r="B658" s="63"/>
      <c r="C658" s="63"/>
      <c r="D658" s="63"/>
      <c r="E658" s="63"/>
      <c r="F658" s="63"/>
      <c r="G658" s="63"/>
      <c r="H658" s="63"/>
      <c r="I658" s="63"/>
      <c r="J658" s="63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>
      <c r="A659" s="62"/>
      <c r="B659" s="63"/>
      <c r="C659" s="63"/>
      <c r="D659" s="63"/>
      <c r="E659" s="63"/>
      <c r="F659" s="63"/>
      <c r="G659" s="63"/>
      <c r="H659" s="63"/>
      <c r="I659" s="63"/>
      <c r="J659" s="63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>
      <c r="A660" s="62"/>
      <c r="B660" s="63"/>
      <c r="C660" s="63"/>
      <c r="D660" s="63"/>
      <c r="E660" s="63"/>
      <c r="F660" s="63"/>
      <c r="G660" s="63"/>
      <c r="H660" s="63"/>
      <c r="I660" s="63"/>
      <c r="J660" s="63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>
      <c r="A661" s="62"/>
      <c r="B661" s="63"/>
      <c r="C661" s="63"/>
      <c r="D661" s="63"/>
      <c r="E661" s="63"/>
      <c r="F661" s="63"/>
      <c r="G661" s="63"/>
      <c r="H661" s="63"/>
      <c r="I661" s="63"/>
      <c r="J661" s="63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>
      <c r="A662" s="62"/>
      <c r="B662" s="63"/>
      <c r="C662" s="63"/>
      <c r="D662" s="63"/>
      <c r="E662" s="63"/>
      <c r="F662" s="63"/>
      <c r="G662" s="63"/>
      <c r="H662" s="63"/>
      <c r="I662" s="63"/>
      <c r="J662" s="63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>
      <c r="A663" s="62"/>
      <c r="B663" s="63"/>
      <c r="C663" s="63"/>
      <c r="D663" s="63"/>
      <c r="E663" s="63"/>
      <c r="F663" s="63"/>
      <c r="G663" s="63"/>
      <c r="H663" s="63"/>
      <c r="I663" s="63"/>
      <c r="J663" s="63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>
      <c r="A664" s="62"/>
      <c r="B664" s="63"/>
      <c r="C664" s="63"/>
      <c r="D664" s="63"/>
      <c r="E664" s="63"/>
      <c r="F664" s="63"/>
      <c r="G664" s="63"/>
      <c r="H664" s="63"/>
      <c r="I664" s="63"/>
      <c r="J664" s="63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>
      <c r="A665" s="62"/>
      <c r="B665" s="63"/>
      <c r="C665" s="63"/>
      <c r="D665" s="63"/>
      <c r="E665" s="63"/>
      <c r="F665" s="63"/>
      <c r="G665" s="63"/>
      <c r="H665" s="63"/>
      <c r="I665" s="63"/>
      <c r="J665" s="63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>
      <c r="A666" s="62"/>
      <c r="B666" s="63"/>
      <c r="C666" s="63"/>
      <c r="D666" s="63"/>
      <c r="E666" s="63"/>
      <c r="F666" s="63"/>
      <c r="G666" s="63"/>
      <c r="H666" s="63"/>
      <c r="I666" s="63"/>
      <c r="J666" s="63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>
      <c r="A667" s="62"/>
      <c r="B667" s="63"/>
      <c r="C667" s="63"/>
      <c r="D667" s="63"/>
      <c r="E667" s="63"/>
      <c r="F667" s="63"/>
      <c r="G667" s="63"/>
      <c r="H667" s="63"/>
      <c r="I667" s="63"/>
      <c r="J667" s="63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>
      <c r="A668" s="62"/>
      <c r="B668" s="63"/>
      <c r="C668" s="63"/>
      <c r="D668" s="63"/>
      <c r="E668" s="63"/>
      <c r="F668" s="63"/>
      <c r="G668" s="63"/>
      <c r="H668" s="63"/>
      <c r="I668" s="63"/>
      <c r="J668" s="63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>
      <c r="A669" s="62"/>
      <c r="B669" s="63"/>
      <c r="C669" s="63"/>
      <c r="D669" s="63"/>
      <c r="E669" s="63"/>
      <c r="F669" s="63"/>
      <c r="G669" s="63"/>
      <c r="H669" s="63"/>
      <c r="I669" s="63"/>
      <c r="J669" s="63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>
      <c r="A670" s="62"/>
      <c r="B670" s="63"/>
      <c r="C670" s="63"/>
      <c r="D670" s="63"/>
      <c r="E670" s="63"/>
      <c r="F670" s="63"/>
      <c r="G670" s="63"/>
      <c r="H670" s="63"/>
      <c r="I670" s="63"/>
      <c r="J670" s="63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>
      <c r="A671" s="62"/>
      <c r="B671" s="63"/>
      <c r="C671" s="63"/>
      <c r="D671" s="63"/>
      <c r="E671" s="63"/>
      <c r="F671" s="63"/>
      <c r="G671" s="63"/>
      <c r="H671" s="63"/>
      <c r="I671" s="63"/>
      <c r="J671" s="63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>
      <c r="A672" s="62"/>
      <c r="B672" s="63"/>
      <c r="C672" s="63"/>
      <c r="D672" s="63"/>
      <c r="E672" s="63"/>
      <c r="F672" s="63"/>
      <c r="G672" s="63"/>
      <c r="H672" s="63"/>
      <c r="I672" s="63"/>
      <c r="J672" s="63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>
      <c r="A673" s="62"/>
      <c r="B673" s="63"/>
      <c r="C673" s="63"/>
      <c r="D673" s="63"/>
      <c r="E673" s="63"/>
      <c r="F673" s="63"/>
      <c r="G673" s="63"/>
      <c r="H673" s="63"/>
      <c r="I673" s="63"/>
      <c r="J673" s="63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>
      <c r="A674" s="62"/>
      <c r="B674" s="63"/>
      <c r="C674" s="63"/>
      <c r="D674" s="63"/>
      <c r="E674" s="63"/>
      <c r="F674" s="63"/>
      <c r="G674" s="63"/>
      <c r="H674" s="63"/>
      <c r="I674" s="63"/>
      <c r="J674" s="63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>
      <c r="A675" s="62"/>
      <c r="B675" s="63"/>
      <c r="C675" s="63"/>
      <c r="D675" s="63"/>
      <c r="E675" s="63"/>
      <c r="F675" s="63"/>
      <c r="G675" s="63"/>
      <c r="H675" s="63"/>
      <c r="I675" s="63"/>
      <c r="J675" s="63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>
      <c r="A676" s="62"/>
      <c r="B676" s="63"/>
      <c r="C676" s="63"/>
      <c r="D676" s="63"/>
      <c r="E676" s="63"/>
      <c r="F676" s="63"/>
      <c r="G676" s="63"/>
      <c r="H676" s="63"/>
      <c r="I676" s="63"/>
      <c r="J676" s="63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>
      <c r="A677" s="62"/>
      <c r="B677" s="63"/>
      <c r="C677" s="63"/>
      <c r="D677" s="63"/>
      <c r="E677" s="63"/>
      <c r="F677" s="63"/>
      <c r="G677" s="63"/>
      <c r="H677" s="63"/>
      <c r="I677" s="63"/>
      <c r="J677" s="63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>
      <c r="A678" s="62"/>
      <c r="B678" s="63"/>
      <c r="C678" s="63"/>
      <c r="D678" s="63"/>
      <c r="E678" s="63"/>
      <c r="F678" s="63"/>
      <c r="G678" s="63"/>
      <c r="H678" s="63"/>
      <c r="I678" s="63"/>
      <c r="J678" s="63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>
      <c r="A679" s="62"/>
      <c r="B679" s="63"/>
      <c r="C679" s="63"/>
      <c r="D679" s="63"/>
      <c r="E679" s="63"/>
      <c r="F679" s="63"/>
      <c r="G679" s="63"/>
      <c r="H679" s="63"/>
      <c r="I679" s="63"/>
      <c r="J679" s="63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>
      <c r="A680" s="62"/>
      <c r="B680" s="63"/>
      <c r="C680" s="63"/>
      <c r="D680" s="63"/>
      <c r="E680" s="63"/>
      <c r="F680" s="63"/>
      <c r="G680" s="63"/>
      <c r="H680" s="63"/>
      <c r="I680" s="63"/>
      <c r="J680" s="63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>
      <c r="A681" s="62"/>
      <c r="B681" s="63"/>
      <c r="C681" s="63"/>
      <c r="D681" s="63"/>
      <c r="E681" s="63"/>
      <c r="F681" s="63"/>
      <c r="G681" s="63"/>
      <c r="H681" s="63"/>
      <c r="I681" s="63"/>
      <c r="J681" s="63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>
      <c r="A682" s="62"/>
      <c r="B682" s="63"/>
      <c r="C682" s="63"/>
      <c r="D682" s="63"/>
      <c r="E682" s="63"/>
      <c r="F682" s="63"/>
      <c r="G682" s="63"/>
      <c r="H682" s="63"/>
      <c r="I682" s="63"/>
      <c r="J682" s="63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>
      <c r="A683" s="62"/>
      <c r="B683" s="63"/>
      <c r="C683" s="63"/>
      <c r="D683" s="63"/>
      <c r="E683" s="63"/>
      <c r="F683" s="63"/>
      <c r="G683" s="63"/>
      <c r="H683" s="63"/>
      <c r="I683" s="63"/>
      <c r="J683" s="63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>
      <c r="A684" s="62"/>
      <c r="B684" s="63"/>
      <c r="C684" s="63"/>
      <c r="D684" s="63"/>
      <c r="E684" s="63"/>
      <c r="F684" s="63"/>
      <c r="G684" s="63"/>
      <c r="H684" s="63"/>
      <c r="I684" s="63"/>
      <c r="J684" s="63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>
      <c r="A685" s="62"/>
      <c r="B685" s="63"/>
      <c r="C685" s="63"/>
      <c r="D685" s="63"/>
      <c r="E685" s="63"/>
      <c r="F685" s="63"/>
      <c r="G685" s="63"/>
      <c r="H685" s="63"/>
      <c r="I685" s="63"/>
      <c r="J685" s="63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>
      <c r="A686" s="62"/>
      <c r="B686" s="63"/>
      <c r="C686" s="63"/>
      <c r="D686" s="63"/>
      <c r="E686" s="63"/>
      <c r="F686" s="63"/>
      <c r="G686" s="63"/>
      <c r="H686" s="63"/>
      <c r="I686" s="63"/>
      <c r="J686" s="63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>
      <c r="A687" s="62"/>
      <c r="B687" s="63"/>
      <c r="C687" s="63"/>
      <c r="D687" s="63"/>
      <c r="E687" s="63"/>
      <c r="F687" s="63"/>
      <c r="G687" s="63"/>
      <c r="H687" s="63"/>
      <c r="I687" s="63"/>
      <c r="J687" s="63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>
      <c r="A688" s="62"/>
      <c r="B688" s="63"/>
      <c r="C688" s="63"/>
      <c r="D688" s="63"/>
      <c r="E688" s="63"/>
      <c r="F688" s="63"/>
      <c r="G688" s="63"/>
      <c r="H688" s="63"/>
      <c r="I688" s="63"/>
      <c r="J688" s="63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>
      <c r="A689" s="62"/>
      <c r="B689" s="63"/>
      <c r="C689" s="63"/>
      <c r="D689" s="63"/>
      <c r="E689" s="63"/>
      <c r="F689" s="63"/>
      <c r="G689" s="63"/>
      <c r="H689" s="63"/>
      <c r="I689" s="63"/>
      <c r="J689" s="63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>
      <c r="A690" s="62"/>
      <c r="B690" s="63"/>
      <c r="C690" s="63"/>
      <c r="D690" s="63"/>
      <c r="E690" s="63"/>
      <c r="F690" s="63"/>
      <c r="G690" s="63"/>
      <c r="H690" s="63"/>
      <c r="I690" s="63"/>
      <c r="J690" s="63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>
      <c r="A691" s="62"/>
      <c r="B691" s="63"/>
      <c r="C691" s="63"/>
      <c r="D691" s="63"/>
      <c r="E691" s="63"/>
      <c r="F691" s="63"/>
      <c r="G691" s="63"/>
      <c r="H691" s="63"/>
      <c r="I691" s="63"/>
      <c r="J691" s="63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>
      <c r="A692" s="62"/>
      <c r="B692" s="63"/>
      <c r="C692" s="63"/>
      <c r="D692" s="63"/>
      <c r="E692" s="63"/>
      <c r="F692" s="63"/>
      <c r="G692" s="63"/>
      <c r="H692" s="63"/>
      <c r="I692" s="63"/>
      <c r="J692" s="63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>
      <c r="A693" s="62"/>
      <c r="B693" s="63"/>
      <c r="C693" s="63"/>
      <c r="D693" s="63"/>
      <c r="E693" s="63"/>
      <c r="F693" s="63"/>
      <c r="G693" s="63"/>
      <c r="H693" s="63"/>
      <c r="I693" s="63"/>
      <c r="J693" s="63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>
      <c r="A694" s="62"/>
      <c r="B694" s="63"/>
      <c r="C694" s="63"/>
      <c r="D694" s="63"/>
      <c r="E694" s="63"/>
      <c r="F694" s="63"/>
      <c r="G694" s="63"/>
      <c r="H694" s="63"/>
      <c r="I694" s="63"/>
      <c r="J694" s="63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>
      <c r="A695" s="62"/>
      <c r="B695" s="63"/>
      <c r="C695" s="63"/>
      <c r="D695" s="63"/>
      <c r="E695" s="63"/>
      <c r="F695" s="63"/>
      <c r="G695" s="63"/>
      <c r="H695" s="63"/>
      <c r="I695" s="63"/>
      <c r="J695" s="63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>
      <c r="A696" s="62"/>
      <c r="B696" s="63"/>
      <c r="C696" s="63"/>
      <c r="D696" s="63"/>
      <c r="E696" s="63"/>
      <c r="F696" s="63"/>
      <c r="G696" s="63"/>
      <c r="H696" s="63"/>
      <c r="I696" s="63"/>
      <c r="J696" s="63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>
      <c r="A697" s="62"/>
      <c r="B697" s="63"/>
      <c r="C697" s="63"/>
      <c r="D697" s="63"/>
      <c r="E697" s="63"/>
      <c r="F697" s="63"/>
      <c r="G697" s="63"/>
      <c r="H697" s="63"/>
      <c r="I697" s="63"/>
      <c r="J697" s="63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>
      <c r="A698" s="62"/>
      <c r="B698" s="63"/>
      <c r="C698" s="63"/>
      <c r="D698" s="63"/>
      <c r="E698" s="63"/>
      <c r="F698" s="63"/>
      <c r="G698" s="63"/>
      <c r="H698" s="63"/>
      <c r="I698" s="63"/>
      <c r="J698" s="63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>
      <c r="A699" s="62"/>
      <c r="B699" s="63"/>
      <c r="C699" s="63"/>
      <c r="D699" s="63"/>
      <c r="E699" s="63"/>
      <c r="F699" s="63"/>
      <c r="G699" s="63"/>
      <c r="H699" s="63"/>
      <c r="I699" s="63"/>
      <c r="J699" s="63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>
      <c r="A700" s="62"/>
      <c r="B700" s="63"/>
      <c r="C700" s="63"/>
      <c r="D700" s="63"/>
      <c r="E700" s="63"/>
      <c r="F700" s="63"/>
      <c r="G700" s="63"/>
      <c r="H700" s="63"/>
      <c r="I700" s="63"/>
      <c r="J700" s="63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>
      <c r="A701" s="62"/>
      <c r="B701" s="63"/>
      <c r="C701" s="63"/>
      <c r="D701" s="63"/>
      <c r="E701" s="63"/>
      <c r="F701" s="63"/>
      <c r="G701" s="63"/>
      <c r="H701" s="63"/>
      <c r="I701" s="63"/>
      <c r="J701" s="63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>
      <c r="A702" s="62"/>
      <c r="B702" s="63"/>
      <c r="C702" s="63"/>
      <c r="D702" s="63"/>
      <c r="E702" s="63"/>
      <c r="F702" s="63"/>
      <c r="G702" s="63"/>
      <c r="H702" s="63"/>
      <c r="I702" s="63"/>
      <c r="J702" s="63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>
      <c r="A703" s="62"/>
      <c r="B703" s="63"/>
      <c r="C703" s="63"/>
      <c r="D703" s="63"/>
      <c r="E703" s="63"/>
      <c r="F703" s="63"/>
      <c r="G703" s="63"/>
      <c r="H703" s="63"/>
      <c r="I703" s="63"/>
      <c r="J703" s="63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>
      <c r="A704" s="62"/>
      <c r="B704" s="63"/>
      <c r="C704" s="63"/>
      <c r="D704" s="63"/>
      <c r="E704" s="63"/>
      <c r="F704" s="63"/>
      <c r="G704" s="63"/>
      <c r="H704" s="63"/>
      <c r="I704" s="63"/>
      <c r="J704" s="63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>
      <c r="A705" s="62"/>
      <c r="B705" s="63"/>
      <c r="C705" s="63"/>
      <c r="D705" s="63"/>
      <c r="E705" s="63"/>
      <c r="F705" s="63"/>
      <c r="G705" s="63"/>
      <c r="H705" s="63"/>
      <c r="I705" s="63"/>
      <c r="J705" s="63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>
      <c r="A706" s="62"/>
      <c r="B706" s="63"/>
      <c r="C706" s="63"/>
      <c r="D706" s="63"/>
      <c r="E706" s="63"/>
      <c r="F706" s="63"/>
      <c r="G706" s="63"/>
      <c r="H706" s="63"/>
      <c r="I706" s="63"/>
      <c r="J706" s="63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>
      <c r="A707" s="62"/>
      <c r="B707" s="63"/>
      <c r="C707" s="63"/>
      <c r="D707" s="63"/>
      <c r="E707" s="63"/>
      <c r="F707" s="63"/>
      <c r="G707" s="63"/>
      <c r="H707" s="63"/>
      <c r="I707" s="63"/>
      <c r="J707" s="63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>
      <c r="A708" s="62"/>
      <c r="B708" s="63"/>
      <c r="C708" s="63"/>
      <c r="D708" s="63"/>
      <c r="E708" s="63"/>
      <c r="F708" s="63"/>
      <c r="G708" s="63"/>
      <c r="H708" s="63"/>
      <c r="I708" s="63"/>
      <c r="J708" s="63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>
      <c r="A709" s="62"/>
      <c r="B709" s="63"/>
      <c r="C709" s="63"/>
      <c r="D709" s="63"/>
      <c r="E709" s="63"/>
      <c r="F709" s="63"/>
      <c r="G709" s="63"/>
      <c r="H709" s="63"/>
      <c r="I709" s="63"/>
      <c r="J709" s="63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>
      <c r="A710" s="62"/>
      <c r="B710" s="63"/>
      <c r="C710" s="63"/>
      <c r="D710" s="63"/>
      <c r="E710" s="63"/>
      <c r="F710" s="63"/>
      <c r="G710" s="63"/>
      <c r="H710" s="63"/>
      <c r="I710" s="63"/>
      <c r="J710" s="63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>
      <c r="A711" s="62"/>
      <c r="B711" s="63"/>
      <c r="C711" s="63"/>
      <c r="D711" s="63"/>
      <c r="E711" s="63"/>
      <c r="F711" s="63"/>
      <c r="G711" s="63"/>
      <c r="H711" s="63"/>
      <c r="I711" s="63"/>
      <c r="J711" s="63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>
      <c r="A712" s="62"/>
      <c r="B712" s="63"/>
      <c r="C712" s="63"/>
      <c r="D712" s="63"/>
      <c r="E712" s="63"/>
      <c r="F712" s="63"/>
      <c r="G712" s="63"/>
      <c r="H712" s="63"/>
      <c r="I712" s="63"/>
      <c r="J712" s="63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>
      <c r="A713" s="62"/>
      <c r="B713" s="63"/>
      <c r="C713" s="63"/>
      <c r="D713" s="63"/>
      <c r="E713" s="63"/>
      <c r="F713" s="63"/>
      <c r="G713" s="63"/>
      <c r="H713" s="63"/>
      <c r="I713" s="63"/>
      <c r="J713" s="63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>
      <c r="A714" s="62"/>
      <c r="B714" s="63"/>
      <c r="C714" s="63"/>
      <c r="D714" s="63"/>
      <c r="E714" s="63"/>
      <c r="F714" s="63"/>
      <c r="G714" s="63"/>
      <c r="H714" s="63"/>
      <c r="I714" s="63"/>
      <c r="J714" s="63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>
      <c r="A715" s="62"/>
      <c r="B715" s="63"/>
      <c r="C715" s="63"/>
      <c r="D715" s="63"/>
      <c r="E715" s="63"/>
      <c r="F715" s="63"/>
      <c r="G715" s="63"/>
      <c r="H715" s="63"/>
      <c r="I715" s="63"/>
      <c r="J715" s="63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>
      <c r="A716" s="62"/>
      <c r="B716" s="63"/>
      <c r="C716" s="63"/>
      <c r="D716" s="63"/>
      <c r="E716" s="63"/>
      <c r="F716" s="63"/>
      <c r="G716" s="63"/>
      <c r="H716" s="63"/>
      <c r="I716" s="63"/>
      <c r="J716" s="63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>
      <c r="A717" s="62"/>
      <c r="B717" s="63"/>
      <c r="C717" s="63"/>
      <c r="D717" s="63"/>
      <c r="E717" s="63"/>
      <c r="F717" s="63"/>
      <c r="G717" s="63"/>
      <c r="H717" s="63"/>
      <c r="I717" s="63"/>
      <c r="J717" s="63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>
      <c r="A718" s="62"/>
      <c r="B718" s="63"/>
      <c r="C718" s="63"/>
      <c r="D718" s="63"/>
      <c r="E718" s="63"/>
      <c r="F718" s="63"/>
      <c r="G718" s="63"/>
      <c r="H718" s="63"/>
      <c r="I718" s="63"/>
      <c r="J718" s="63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>
      <c r="A719" s="62"/>
      <c r="B719" s="63"/>
      <c r="C719" s="63"/>
      <c r="D719" s="63"/>
      <c r="E719" s="63"/>
      <c r="F719" s="63"/>
      <c r="G719" s="63"/>
      <c r="H719" s="63"/>
      <c r="I719" s="63"/>
      <c r="J719" s="63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>
      <c r="A720" s="62"/>
      <c r="B720" s="63"/>
      <c r="C720" s="63"/>
      <c r="D720" s="63"/>
      <c r="E720" s="63"/>
      <c r="F720" s="63"/>
      <c r="G720" s="63"/>
      <c r="H720" s="63"/>
      <c r="I720" s="63"/>
      <c r="J720" s="63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>
      <c r="A721" s="62"/>
      <c r="B721" s="63"/>
      <c r="C721" s="63"/>
      <c r="D721" s="63"/>
      <c r="E721" s="63"/>
      <c r="F721" s="63"/>
      <c r="G721" s="63"/>
      <c r="H721" s="63"/>
      <c r="I721" s="63"/>
      <c r="J721" s="63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>
      <c r="A722" s="62"/>
      <c r="B722" s="63"/>
      <c r="C722" s="63"/>
      <c r="D722" s="63"/>
      <c r="E722" s="63"/>
      <c r="F722" s="63"/>
      <c r="G722" s="63"/>
      <c r="H722" s="63"/>
      <c r="I722" s="63"/>
      <c r="J722" s="63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>
      <c r="A723" s="62"/>
      <c r="B723" s="63"/>
      <c r="C723" s="63"/>
      <c r="D723" s="63"/>
      <c r="E723" s="63"/>
      <c r="F723" s="63"/>
      <c r="G723" s="63"/>
      <c r="H723" s="63"/>
      <c r="I723" s="63"/>
      <c r="J723" s="63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>
      <c r="A724" s="62"/>
      <c r="B724" s="63"/>
      <c r="C724" s="63"/>
      <c r="D724" s="63"/>
      <c r="E724" s="63"/>
      <c r="F724" s="63"/>
      <c r="G724" s="63"/>
      <c r="H724" s="63"/>
      <c r="I724" s="63"/>
      <c r="J724" s="63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>
      <c r="A725" s="62"/>
      <c r="B725" s="63"/>
      <c r="C725" s="63"/>
      <c r="D725" s="63"/>
      <c r="E725" s="63"/>
      <c r="F725" s="63"/>
      <c r="G725" s="63"/>
      <c r="H725" s="63"/>
      <c r="I725" s="63"/>
      <c r="J725" s="63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>
      <c r="A726" s="62"/>
      <c r="B726" s="63"/>
      <c r="C726" s="63"/>
      <c r="D726" s="63"/>
      <c r="E726" s="63"/>
      <c r="F726" s="63"/>
      <c r="G726" s="63"/>
      <c r="H726" s="63"/>
      <c r="I726" s="63"/>
      <c r="J726" s="63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>
      <c r="A727" s="62"/>
      <c r="B727" s="63"/>
      <c r="C727" s="63"/>
      <c r="D727" s="63"/>
      <c r="E727" s="63"/>
      <c r="F727" s="63"/>
      <c r="G727" s="63"/>
      <c r="H727" s="63"/>
      <c r="I727" s="63"/>
      <c r="J727" s="63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>
      <c r="A728" s="62"/>
      <c r="B728" s="63"/>
      <c r="C728" s="63"/>
      <c r="D728" s="63"/>
      <c r="E728" s="63"/>
      <c r="F728" s="63"/>
      <c r="G728" s="63"/>
      <c r="H728" s="63"/>
      <c r="I728" s="63"/>
      <c r="J728" s="63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>
      <c r="A729" s="62"/>
      <c r="B729" s="63"/>
      <c r="C729" s="63"/>
      <c r="D729" s="63"/>
      <c r="E729" s="63"/>
      <c r="F729" s="63"/>
      <c r="G729" s="63"/>
      <c r="H729" s="63"/>
      <c r="I729" s="63"/>
      <c r="J729" s="63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>
      <c r="A730" s="62"/>
      <c r="B730" s="63"/>
      <c r="C730" s="63"/>
      <c r="D730" s="63"/>
      <c r="E730" s="63"/>
      <c r="F730" s="63"/>
      <c r="G730" s="63"/>
      <c r="H730" s="63"/>
      <c r="I730" s="63"/>
      <c r="J730" s="63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>
      <c r="A731" s="62"/>
      <c r="B731" s="63"/>
      <c r="C731" s="63"/>
      <c r="D731" s="63"/>
      <c r="E731" s="63"/>
      <c r="F731" s="63"/>
      <c r="G731" s="63"/>
      <c r="H731" s="63"/>
      <c r="I731" s="63"/>
      <c r="J731" s="63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>
      <c r="A732" s="62"/>
      <c r="B732" s="63"/>
      <c r="C732" s="63"/>
      <c r="D732" s="63"/>
      <c r="E732" s="63"/>
      <c r="F732" s="63"/>
      <c r="G732" s="63"/>
      <c r="H732" s="63"/>
      <c r="I732" s="63"/>
      <c r="J732" s="63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>
      <c r="A733" s="62"/>
      <c r="B733" s="63"/>
      <c r="C733" s="63"/>
      <c r="D733" s="63"/>
      <c r="E733" s="63"/>
      <c r="F733" s="63"/>
      <c r="G733" s="63"/>
      <c r="H733" s="63"/>
      <c r="I733" s="63"/>
      <c r="J733" s="63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>
      <c r="A734" s="62"/>
      <c r="B734" s="63"/>
      <c r="C734" s="63"/>
      <c r="D734" s="63"/>
      <c r="E734" s="63"/>
      <c r="F734" s="63"/>
      <c r="G734" s="63"/>
      <c r="H734" s="63"/>
      <c r="I734" s="63"/>
      <c r="J734" s="63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>
      <c r="A735" s="62"/>
      <c r="B735" s="63"/>
      <c r="C735" s="63"/>
      <c r="D735" s="63"/>
      <c r="E735" s="63"/>
      <c r="F735" s="63"/>
      <c r="G735" s="63"/>
      <c r="H735" s="63"/>
      <c r="I735" s="63"/>
      <c r="J735" s="63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>
      <c r="A736" s="62"/>
      <c r="B736" s="63"/>
      <c r="C736" s="63"/>
      <c r="D736" s="63"/>
      <c r="E736" s="63"/>
      <c r="F736" s="63"/>
      <c r="G736" s="63"/>
      <c r="H736" s="63"/>
      <c r="I736" s="63"/>
      <c r="J736" s="63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>
      <c r="A737" s="62"/>
      <c r="B737" s="63"/>
      <c r="C737" s="63"/>
      <c r="D737" s="63"/>
      <c r="E737" s="63"/>
      <c r="F737" s="63"/>
      <c r="G737" s="63"/>
      <c r="H737" s="63"/>
      <c r="I737" s="63"/>
      <c r="J737" s="63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>
      <c r="A738" s="62"/>
      <c r="B738" s="63"/>
      <c r="C738" s="63"/>
      <c r="D738" s="63"/>
      <c r="E738" s="63"/>
      <c r="F738" s="63"/>
      <c r="G738" s="63"/>
      <c r="H738" s="63"/>
      <c r="I738" s="63"/>
      <c r="J738" s="63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>
      <c r="A739" s="62"/>
      <c r="B739" s="63"/>
      <c r="C739" s="63"/>
      <c r="D739" s="63"/>
      <c r="E739" s="63"/>
      <c r="F739" s="63"/>
      <c r="G739" s="63"/>
      <c r="H739" s="63"/>
      <c r="I739" s="63"/>
      <c r="J739" s="63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>
      <c r="A740" s="62"/>
      <c r="B740" s="63"/>
      <c r="C740" s="63"/>
      <c r="D740" s="63"/>
      <c r="E740" s="63"/>
      <c r="F740" s="63"/>
      <c r="G740" s="63"/>
      <c r="H740" s="63"/>
      <c r="I740" s="63"/>
      <c r="J740" s="63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>
      <c r="A741" s="62"/>
      <c r="B741" s="63"/>
      <c r="C741" s="63"/>
      <c r="D741" s="63"/>
      <c r="E741" s="63"/>
      <c r="F741" s="63"/>
      <c r="G741" s="63"/>
      <c r="H741" s="63"/>
      <c r="I741" s="63"/>
      <c r="J741" s="63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>
      <c r="A742" s="62"/>
      <c r="B742" s="63"/>
      <c r="C742" s="63"/>
      <c r="D742" s="63"/>
      <c r="E742" s="63"/>
      <c r="F742" s="63"/>
      <c r="G742" s="63"/>
      <c r="H742" s="63"/>
      <c r="I742" s="63"/>
      <c r="J742" s="63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>
      <c r="A743" s="62"/>
      <c r="B743" s="63"/>
      <c r="C743" s="63"/>
      <c r="D743" s="63"/>
      <c r="E743" s="63"/>
      <c r="F743" s="63"/>
      <c r="G743" s="63"/>
      <c r="H743" s="63"/>
      <c r="I743" s="63"/>
      <c r="J743" s="63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>
      <c r="A744" s="62"/>
      <c r="B744" s="63"/>
      <c r="C744" s="63"/>
      <c r="D744" s="63"/>
      <c r="E744" s="63"/>
      <c r="F744" s="63"/>
      <c r="G744" s="63"/>
      <c r="H744" s="63"/>
      <c r="I744" s="63"/>
      <c r="J744" s="63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>
      <c r="A745" s="62"/>
      <c r="B745" s="63"/>
      <c r="C745" s="63"/>
      <c r="D745" s="63"/>
      <c r="E745" s="63"/>
      <c r="F745" s="63"/>
      <c r="G745" s="63"/>
      <c r="H745" s="63"/>
      <c r="I745" s="63"/>
      <c r="J745" s="63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>
      <c r="A746" s="62"/>
      <c r="B746" s="63"/>
      <c r="C746" s="63"/>
      <c r="D746" s="63"/>
      <c r="E746" s="63"/>
      <c r="F746" s="63"/>
      <c r="G746" s="63"/>
      <c r="H746" s="63"/>
      <c r="I746" s="63"/>
      <c r="J746" s="63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>
      <c r="A747" s="62"/>
      <c r="B747" s="63"/>
      <c r="C747" s="63"/>
      <c r="D747" s="63"/>
      <c r="E747" s="63"/>
      <c r="F747" s="63"/>
      <c r="G747" s="63"/>
      <c r="H747" s="63"/>
      <c r="I747" s="63"/>
      <c r="J747" s="63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>
      <c r="A748" s="62"/>
      <c r="B748" s="63"/>
      <c r="C748" s="63"/>
      <c r="D748" s="63"/>
      <c r="E748" s="63"/>
      <c r="F748" s="63"/>
      <c r="G748" s="63"/>
      <c r="H748" s="63"/>
      <c r="I748" s="63"/>
      <c r="J748" s="63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>
      <c r="A749" s="62"/>
      <c r="B749" s="63"/>
      <c r="C749" s="63"/>
      <c r="D749" s="63"/>
      <c r="E749" s="63"/>
      <c r="F749" s="63"/>
      <c r="G749" s="63"/>
      <c r="H749" s="63"/>
      <c r="I749" s="63"/>
      <c r="J749" s="63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>
      <c r="A750" s="62"/>
      <c r="B750" s="63"/>
      <c r="C750" s="63"/>
      <c r="D750" s="63"/>
      <c r="E750" s="63"/>
      <c r="F750" s="63"/>
      <c r="G750" s="63"/>
      <c r="H750" s="63"/>
      <c r="I750" s="63"/>
      <c r="J750" s="63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>
      <c r="A751" s="62"/>
      <c r="B751" s="63"/>
      <c r="C751" s="63"/>
      <c r="D751" s="63"/>
      <c r="E751" s="63"/>
      <c r="F751" s="63"/>
      <c r="G751" s="63"/>
      <c r="H751" s="63"/>
      <c r="I751" s="63"/>
      <c r="J751" s="63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>
      <c r="A752" s="62"/>
      <c r="B752" s="63"/>
      <c r="C752" s="63"/>
      <c r="D752" s="63"/>
      <c r="E752" s="63"/>
      <c r="F752" s="63"/>
      <c r="G752" s="63"/>
      <c r="H752" s="63"/>
      <c r="I752" s="63"/>
      <c r="J752" s="63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>
      <c r="A753" s="62"/>
      <c r="B753" s="63"/>
      <c r="C753" s="63"/>
      <c r="D753" s="63"/>
      <c r="E753" s="63"/>
      <c r="F753" s="63"/>
      <c r="G753" s="63"/>
      <c r="H753" s="63"/>
      <c r="I753" s="63"/>
      <c r="J753" s="63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>
      <c r="A754" s="62"/>
      <c r="B754" s="63"/>
      <c r="C754" s="63"/>
      <c r="D754" s="63"/>
      <c r="E754" s="63"/>
      <c r="F754" s="63"/>
      <c r="G754" s="63"/>
      <c r="H754" s="63"/>
      <c r="I754" s="63"/>
      <c r="J754" s="63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>
      <c r="A755" s="62"/>
      <c r="B755" s="63"/>
      <c r="C755" s="63"/>
      <c r="D755" s="63"/>
      <c r="E755" s="63"/>
      <c r="F755" s="63"/>
      <c r="G755" s="63"/>
      <c r="H755" s="63"/>
      <c r="I755" s="63"/>
      <c r="J755" s="63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>
      <c r="A756" s="62"/>
      <c r="B756" s="63"/>
      <c r="C756" s="63"/>
      <c r="D756" s="63"/>
      <c r="E756" s="63"/>
      <c r="F756" s="63"/>
      <c r="G756" s="63"/>
      <c r="H756" s="63"/>
      <c r="I756" s="63"/>
      <c r="J756" s="63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>
      <c r="A757" s="62"/>
      <c r="B757" s="63"/>
      <c r="C757" s="63"/>
      <c r="D757" s="63"/>
      <c r="E757" s="63"/>
      <c r="F757" s="63"/>
      <c r="G757" s="63"/>
      <c r="H757" s="63"/>
      <c r="I757" s="63"/>
      <c r="J757" s="63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>
      <c r="A758" s="62"/>
      <c r="B758" s="63"/>
      <c r="C758" s="63"/>
      <c r="D758" s="63"/>
      <c r="E758" s="63"/>
      <c r="F758" s="63"/>
      <c r="G758" s="63"/>
      <c r="H758" s="63"/>
      <c r="I758" s="63"/>
      <c r="J758" s="63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>
      <c r="A759" s="62"/>
      <c r="B759" s="63"/>
      <c r="C759" s="63"/>
      <c r="D759" s="63"/>
      <c r="E759" s="63"/>
      <c r="F759" s="63"/>
      <c r="G759" s="63"/>
      <c r="H759" s="63"/>
      <c r="I759" s="63"/>
      <c r="J759" s="63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>
      <c r="A760" s="62"/>
      <c r="B760" s="63"/>
      <c r="C760" s="63"/>
      <c r="D760" s="63"/>
      <c r="E760" s="63"/>
      <c r="F760" s="63"/>
      <c r="G760" s="63"/>
      <c r="H760" s="63"/>
      <c r="I760" s="63"/>
      <c r="J760" s="63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>
      <c r="A761" s="62"/>
      <c r="B761" s="63"/>
      <c r="C761" s="63"/>
      <c r="D761" s="63"/>
      <c r="E761" s="63"/>
      <c r="F761" s="63"/>
      <c r="G761" s="63"/>
      <c r="H761" s="63"/>
      <c r="I761" s="63"/>
      <c r="J761" s="63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>
      <c r="A762" s="62"/>
      <c r="B762" s="63"/>
      <c r="C762" s="63"/>
      <c r="D762" s="63"/>
      <c r="E762" s="63"/>
      <c r="F762" s="63"/>
      <c r="G762" s="63"/>
      <c r="H762" s="63"/>
      <c r="I762" s="63"/>
      <c r="J762" s="63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>
      <c r="A763" s="62"/>
      <c r="B763" s="63"/>
      <c r="C763" s="63"/>
      <c r="D763" s="63"/>
      <c r="E763" s="63"/>
      <c r="F763" s="63"/>
      <c r="G763" s="63"/>
      <c r="H763" s="63"/>
      <c r="I763" s="63"/>
      <c r="J763" s="63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>
      <c r="A764" s="62"/>
      <c r="B764" s="63"/>
      <c r="C764" s="63"/>
      <c r="D764" s="63"/>
      <c r="E764" s="63"/>
      <c r="F764" s="63"/>
      <c r="G764" s="63"/>
      <c r="H764" s="63"/>
      <c r="I764" s="63"/>
      <c r="J764" s="63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>
      <c r="A765" s="62"/>
      <c r="B765" s="63"/>
      <c r="C765" s="63"/>
      <c r="D765" s="63"/>
      <c r="E765" s="63"/>
      <c r="F765" s="63"/>
      <c r="G765" s="63"/>
      <c r="H765" s="63"/>
      <c r="I765" s="63"/>
      <c r="J765" s="63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>
      <c r="A766" s="62"/>
      <c r="B766" s="63"/>
      <c r="C766" s="63"/>
      <c r="D766" s="63"/>
      <c r="E766" s="63"/>
      <c r="F766" s="63"/>
      <c r="G766" s="63"/>
      <c r="H766" s="63"/>
      <c r="I766" s="63"/>
      <c r="J766" s="63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>
      <c r="A767" s="62"/>
      <c r="B767" s="63"/>
      <c r="C767" s="63"/>
      <c r="D767" s="63"/>
      <c r="E767" s="63"/>
      <c r="F767" s="63"/>
      <c r="G767" s="63"/>
      <c r="H767" s="63"/>
      <c r="I767" s="63"/>
      <c r="J767" s="63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>
      <c r="A768" s="62"/>
      <c r="B768" s="63"/>
      <c r="C768" s="63"/>
      <c r="D768" s="63"/>
      <c r="E768" s="63"/>
      <c r="F768" s="63"/>
      <c r="G768" s="63"/>
      <c r="H768" s="63"/>
      <c r="I768" s="63"/>
      <c r="J768" s="63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>
      <c r="A769" s="62"/>
      <c r="B769" s="63"/>
      <c r="C769" s="63"/>
      <c r="D769" s="63"/>
      <c r="E769" s="63"/>
      <c r="F769" s="63"/>
      <c r="G769" s="63"/>
      <c r="H769" s="63"/>
      <c r="I769" s="63"/>
      <c r="J769" s="63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>
      <c r="A770" s="62"/>
      <c r="B770" s="63"/>
      <c r="C770" s="63"/>
      <c r="D770" s="63"/>
      <c r="E770" s="63"/>
      <c r="F770" s="63"/>
      <c r="G770" s="63"/>
      <c r="H770" s="63"/>
      <c r="I770" s="63"/>
      <c r="J770" s="63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>
      <c r="A771" s="62"/>
      <c r="B771" s="63"/>
      <c r="C771" s="63"/>
      <c r="D771" s="63"/>
      <c r="E771" s="63"/>
      <c r="F771" s="63"/>
      <c r="G771" s="63"/>
      <c r="H771" s="63"/>
      <c r="I771" s="63"/>
      <c r="J771" s="63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>
      <c r="A772" s="62"/>
      <c r="B772" s="63"/>
      <c r="C772" s="63"/>
      <c r="D772" s="63"/>
      <c r="E772" s="63"/>
      <c r="F772" s="63"/>
      <c r="G772" s="63"/>
      <c r="H772" s="63"/>
      <c r="I772" s="63"/>
      <c r="J772" s="63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>
      <c r="A773" s="62"/>
      <c r="B773" s="63"/>
      <c r="C773" s="63"/>
      <c r="D773" s="63"/>
      <c r="E773" s="63"/>
      <c r="F773" s="63"/>
      <c r="G773" s="63"/>
      <c r="H773" s="63"/>
      <c r="I773" s="63"/>
      <c r="J773" s="63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>
      <c r="A774" s="62"/>
      <c r="B774" s="63"/>
      <c r="C774" s="63"/>
      <c r="D774" s="63"/>
      <c r="E774" s="63"/>
      <c r="F774" s="63"/>
      <c r="G774" s="63"/>
      <c r="H774" s="63"/>
      <c r="I774" s="63"/>
      <c r="J774" s="63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>
      <c r="A775" s="62"/>
      <c r="B775" s="63"/>
      <c r="C775" s="63"/>
      <c r="D775" s="63"/>
      <c r="E775" s="63"/>
      <c r="F775" s="63"/>
      <c r="G775" s="63"/>
      <c r="H775" s="63"/>
      <c r="I775" s="63"/>
      <c r="J775" s="63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>
      <c r="A776" s="62"/>
      <c r="B776" s="63"/>
      <c r="C776" s="63"/>
      <c r="D776" s="63"/>
      <c r="E776" s="63"/>
      <c r="F776" s="63"/>
      <c r="G776" s="63"/>
      <c r="H776" s="63"/>
      <c r="I776" s="63"/>
      <c r="J776" s="63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>
      <c r="A777" s="62"/>
      <c r="B777" s="63"/>
      <c r="C777" s="63"/>
      <c r="D777" s="63"/>
      <c r="E777" s="63"/>
      <c r="F777" s="63"/>
      <c r="G777" s="63"/>
      <c r="H777" s="63"/>
      <c r="I777" s="63"/>
      <c r="J777" s="63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>
      <c r="A778" s="62"/>
      <c r="B778" s="63"/>
      <c r="C778" s="63"/>
      <c r="D778" s="63"/>
      <c r="E778" s="63"/>
      <c r="F778" s="63"/>
      <c r="G778" s="63"/>
      <c r="H778" s="63"/>
      <c r="I778" s="63"/>
      <c r="J778" s="63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>
      <c r="A779" s="62"/>
      <c r="B779" s="63"/>
      <c r="C779" s="63"/>
      <c r="D779" s="63"/>
      <c r="E779" s="63"/>
      <c r="F779" s="63"/>
      <c r="G779" s="63"/>
      <c r="H779" s="63"/>
      <c r="I779" s="63"/>
      <c r="J779" s="63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>
      <c r="A780" s="62"/>
      <c r="B780" s="63"/>
      <c r="C780" s="63"/>
      <c r="D780" s="63"/>
      <c r="E780" s="63"/>
      <c r="F780" s="63"/>
      <c r="G780" s="63"/>
      <c r="H780" s="63"/>
      <c r="I780" s="63"/>
      <c r="J780" s="63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>
      <c r="A781" s="62"/>
      <c r="B781" s="63"/>
      <c r="C781" s="63"/>
      <c r="D781" s="63"/>
      <c r="E781" s="63"/>
      <c r="F781" s="63"/>
      <c r="G781" s="63"/>
      <c r="H781" s="63"/>
      <c r="I781" s="63"/>
      <c r="J781" s="63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>
      <c r="A782" s="62"/>
      <c r="B782" s="63"/>
      <c r="C782" s="63"/>
      <c r="D782" s="63"/>
      <c r="E782" s="63"/>
      <c r="F782" s="63"/>
      <c r="G782" s="63"/>
      <c r="H782" s="63"/>
      <c r="I782" s="63"/>
      <c r="J782" s="63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>
      <c r="A783" s="62"/>
      <c r="B783" s="63"/>
      <c r="C783" s="63"/>
      <c r="D783" s="63"/>
      <c r="E783" s="63"/>
      <c r="F783" s="63"/>
      <c r="G783" s="63"/>
      <c r="H783" s="63"/>
      <c r="I783" s="63"/>
      <c r="J783" s="63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>
      <c r="A784" s="62"/>
      <c r="B784" s="63"/>
      <c r="C784" s="63"/>
      <c r="D784" s="63"/>
      <c r="E784" s="63"/>
      <c r="F784" s="63"/>
      <c r="G784" s="63"/>
      <c r="H784" s="63"/>
      <c r="I784" s="63"/>
      <c r="J784" s="63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>
      <c r="A785" s="62"/>
      <c r="B785" s="63"/>
      <c r="C785" s="63"/>
      <c r="D785" s="63"/>
      <c r="E785" s="63"/>
      <c r="F785" s="63"/>
      <c r="G785" s="63"/>
      <c r="H785" s="63"/>
      <c r="I785" s="63"/>
      <c r="J785" s="63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>
      <c r="A786" s="62"/>
      <c r="B786" s="63"/>
      <c r="C786" s="63"/>
      <c r="D786" s="63"/>
      <c r="E786" s="63"/>
      <c r="F786" s="63"/>
      <c r="G786" s="63"/>
      <c r="H786" s="63"/>
      <c r="I786" s="63"/>
      <c r="J786" s="63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>
      <c r="A787" s="62"/>
      <c r="B787" s="63"/>
      <c r="C787" s="63"/>
      <c r="D787" s="63"/>
      <c r="E787" s="63"/>
      <c r="F787" s="63"/>
      <c r="G787" s="63"/>
      <c r="H787" s="63"/>
      <c r="I787" s="63"/>
      <c r="J787" s="63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>
      <c r="A788" s="62"/>
      <c r="B788" s="63"/>
      <c r="C788" s="63"/>
      <c r="D788" s="63"/>
      <c r="E788" s="63"/>
      <c r="F788" s="63"/>
      <c r="G788" s="63"/>
      <c r="H788" s="63"/>
      <c r="I788" s="63"/>
      <c r="J788" s="63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>
      <c r="A789" s="62"/>
      <c r="B789" s="63"/>
      <c r="C789" s="63"/>
      <c r="D789" s="63"/>
      <c r="E789" s="63"/>
      <c r="F789" s="63"/>
      <c r="G789" s="63"/>
      <c r="H789" s="63"/>
      <c r="I789" s="63"/>
      <c r="J789" s="63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>
      <c r="A790" s="62"/>
      <c r="B790" s="63"/>
      <c r="C790" s="63"/>
      <c r="D790" s="63"/>
      <c r="E790" s="63"/>
      <c r="F790" s="63"/>
      <c r="G790" s="63"/>
      <c r="H790" s="63"/>
      <c r="I790" s="63"/>
      <c r="J790" s="63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>
      <c r="A791" s="62"/>
      <c r="B791" s="63"/>
      <c r="C791" s="63"/>
      <c r="D791" s="63"/>
      <c r="E791" s="63"/>
      <c r="F791" s="63"/>
      <c r="G791" s="63"/>
      <c r="H791" s="63"/>
      <c r="I791" s="63"/>
      <c r="J791" s="63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>
      <c r="A792" s="62"/>
      <c r="B792" s="63"/>
      <c r="C792" s="63"/>
      <c r="D792" s="63"/>
      <c r="E792" s="63"/>
      <c r="F792" s="63"/>
      <c r="G792" s="63"/>
      <c r="H792" s="63"/>
      <c r="I792" s="63"/>
      <c r="J792" s="63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>
      <c r="A793" s="62"/>
      <c r="B793" s="63"/>
      <c r="C793" s="63"/>
      <c r="D793" s="63"/>
      <c r="E793" s="63"/>
      <c r="F793" s="63"/>
      <c r="G793" s="63"/>
      <c r="H793" s="63"/>
      <c r="I793" s="63"/>
      <c r="J793" s="63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>
      <c r="A794" s="62"/>
      <c r="B794" s="63"/>
      <c r="C794" s="63"/>
      <c r="D794" s="63"/>
      <c r="E794" s="63"/>
      <c r="F794" s="63"/>
      <c r="G794" s="63"/>
      <c r="H794" s="63"/>
      <c r="I794" s="63"/>
      <c r="J794" s="63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>
      <c r="A795" s="62"/>
      <c r="B795" s="63"/>
      <c r="C795" s="63"/>
      <c r="D795" s="63"/>
      <c r="E795" s="63"/>
      <c r="F795" s="63"/>
      <c r="G795" s="63"/>
      <c r="H795" s="63"/>
      <c r="I795" s="63"/>
      <c r="J795" s="63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>
      <c r="A796" s="62"/>
      <c r="B796" s="63"/>
      <c r="C796" s="63"/>
      <c r="D796" s="63"/>
      <c r="E796" s="63"/>
      <c r="F796" s="63"/>
      <c r="G796" s="63"/>
      <c r="H796" s="63"/>
      <c r="I796" s="63"/>
      <c r="J796" s="63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>
      <c r="A797" s="62"/>
      <c r="B797" s="63"/>
      <c r="C797" s="63"/>
      <c r="D797" s="63"/>
      <c r="E797" s="63"/>
      <c r="F797" s="63"/>
      <c r="G797" s="63"/>
      <c r="H797" s="63"/>
      <c r="I797" s="63"/>
      <c r="J797" s="63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>
      <c r="A798" s="62"/>
      <c r="B798" s="63"/>
      <c r="C798" s="63"/>
      <c r="D798" s="63"/>
      <c r="E798" s="63"/>
      <c r="F798" s="63"/>
      <c r="G798" s="63"/>
      <c r="H798" s="63"/>
      <c r="I798" s="63"/>
      <c r="J798" s="63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>
      <c r="A799" s="62"/>
      <c r="B799" s="63"/>
      <c r="C799" s="63"/>
      <c r="D799" s="63"/>
      <c r="E799" s="63"/>
      <c r="F799" s="63"/>
      <c r="G799" s="63"/>
      <c r="H799" s="63"/>
      <c r="I799" s="63"/>
      <c r="J799" s="63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>
      <c r="A800" s="62"/>
      <c r="B800" s="63"/>
      <c r="C800" s="63"/>
      <c r="D800" s="63"/>
      <c r="E800" s="63"/>
      <c r="F800" s="63"/>
      <c r="G800" s="63"/>
      <c r="H800" s="63"/>
      <c r="I800" s="63"/>
      <c r="J800" s="63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>
      <c r="A801" s="62"/>
      <c r="B801" s="63"/>
      <c r="C801" s="63"/>
      <c r="D801" s="63"/>
      <c r="E801" s="63"/>
      <c r="F801" s="63"/>
      <c r="G801" s="63"/>
      <c r="H801" s="63"/>
      <c r="I801" s="63"/>
      <c r="J801" s="63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>
      <c r="A802" s="62"/>
      <c r="B802" s="63"/>
      <c r="C802" s="63"/>
      <c r="D802" s="63"/>
      <c r="E802" s="63"/>
      <c r="F802" s="63"/>
      <c r="G802" s="63"/>
      <c r="H802" s="63"/>
      <c r="I802" s="63"/>
      <c r="J802" s="63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>
      <c r="A803" s="62"/>
      <c r="B803" s="63"/>
      <c r="C803" s="63"/>
      <c r="D803" s="63"/>
      <c r="E803" s="63"/>
      <c r="F803" s="63"/>
      <c r="G803" s="63"/>
      <c r="H803" s="63"/>
      <c r="I803" s="63"/>
      <c r="J803" s="63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>
      <c r="A804" s="62"/>
      <c r="B804" s="63"/>
      <c r="C804" s="63"/>
      <c r="D804" s="63"/>
      <c r="E804" s="63"/>
      <c r="F804" s="63"/>
      <c r="G804" s="63"/>
      <c r="H804" s="63"/>
      <c r="I804" s="63"/>
      <c r="J804" s="63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>
      <c r="A805" s="62"/>
      <c r="B805" s="63"/>
      <c r="C805" s="63"/>
      <c r="D805" s="63"/>
      <c r="E805" s="63"/>
      <c r="F805" s="63"/>
      <c r="G805" s="63"/>
      <c r="H805" s="63"/>
      <c r="I805" s="63"/>
      <c r="J805" s="63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>
      <c r="A806" s="62"/>
      <c r="B806" s="63"/>
      <c r="C806" s="63"/>
      <c r="D806" s="63"/>
      <c r="E806" s="63"/>
      <c r="F806" s="63"/>
      <c r="G806" s="63"/>
      <c r="H806" s="63"/>
      <c r="I806" s="63"/>
      <c r="J806" s="63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>
      <c r="A807" s="62"/>
      <c r="B807" s="63"/>
      <c r="C807" s="63"/>
      <c r="D807" s="63"/>
      <c r="E807" s="63"/>
      <c r="F807" s="63"/>
      <c r="G807" s="63"/>
      <c r="H807" s="63"/>
      <c r="I807" s="63"/>
      <c r="J807" s="63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>
      <c r="A808" s="62"/>
      <c r="B808" s="63"/>
      <c r="C808" s="63"/>
      <c r="D808" s="63"/>
      <c r="E808" s="63"/>
      <c r="F808" s="63"/>
      <c r="G808" s="63"/>
      <c r="H808" s="63"/>
      <c r="I808" s="63"/>
      <c r="J808" s="63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>
      <c r="A809" s="62"/>
      <c r="B809" s="63"/>
      <c r="C809" s="63"/>
      <c r="D809" s="63"/>
      <c r="E809" s="63"/>
      <c r="F809" s="63"/>
      <c r="G809" s="63"/>
      <c r="H809" s="63"/>
      <c r="I809" s="63"/>
      <c r="J809" s="63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>
      <c r="A810" s="62"/>
      <c r="B810" s="63"/>
      <c r="C810" s="63"/>
      <c r="D810" s="63"/>
      <c r="E810" s="63"/>
      <c r="F810" s="63"/>
      <c r="G810" s="63"/>
      <c r="H810" s="63"/>
      <c r="I810" s="63"/>
      <c r="J810" s="63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>
      <c r="A811" s="62"/>
      <c r="B811" s="63"/>
      <c r="C811" s="63"/>
      <c r="D811" s="63"/>
      <c r="E811" s="63"/>
      <c r="F811" s="63"/>
      <c r="G811" s="63"/>
      <c r="H811" s="63"/>
      <c r="I811" s="63"/>
      <c r="J811" s="63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>
      <c r="A812" s="62"/>
      <c r="B812" s="63"/>
      <c r="C812" s="63"/>
      <c r="D812" s="63"/>
      <c r="E812" s="63"/>
      <c r="F812" s="63"/>
      <c r="G812" s="63"/>
      <c r="H812" s="63"/>
      <c r="I812" s="63"/>
      <c r="J812" s="63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>
      <c r="A813" s="62"/>
      <c r="B813" s="63"/>
      <c r="C813" s="63"/>
      <c r="D813" s="63"/>
      <c r="E813" s="63"/>
      <c r="F813" s="63"/>
      <c r="G813" s="63"/>
      <c r="H813" s="63"/>
      <c r="I813" s="63"/>
      <c r="J813" s="63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>
      <c r="A814" s="62"/>
      <c r="B814" s="63"/>
      <c r="C814" s="63"/>
      <c r="D814" s="63"/>
      <c r="E814" s="63"/>
      <c r="F814" s="63"/>
      <c r="G814" s="63"/>
      <c r="H814" s="63"/>
      <c r="I814" s="63"/>
      <c r="J814" s="63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>
      <c r="A815" s="62"/>
      <c r="B815" s="63"/>
      <c r="C815" s="63"/>
      <c r="D815" s="63"/>
      <c r="E815" s="63"/>
      <c r="F815" s="63"/>
      <c r="G815" s="63"/>
      <c r="H815" s="63"/>
      <c r="I815" s="63"/>
      <c r="J815" s="63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>
      <c r="A816" s="62"/>
      <c r="B816" s="63"/>
      <c r="C816" s="63"/>
      <c r="D816" s="63"/>
      <c r="E816" s="63"/>
      <c r="F816" s="63"/>
      <c r="G816" s="63"/>
      <c r="H816" s="63"/>
      <c r="I816" s="63"/>
      <c r="J816" s="63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>
      <c r="A817" s="62"/>
      <c r="B817" s="63"/>
      <c r="C817" s="63"/>
      <c r="D817" s="63"/>
      <c r="E817" s="63"/>
      <c r="F817" s="63"/>
      <c r="G817" s="63"/>
      <c r="H817" s="63"/>
      <c r="I817" s="63"/>
      <c r="J817" s="63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>
      <c r="A818" s="62"/>
      <c r="B818" s="63"/>
      <c r="C818" s="63"/>
      <c r="D818" s="63"/>
      <c r="E818" s="63"/>
      <c r="F818" s="63"/>
      <c r="G818" s="63"/>
      <c r="H818" s="63"/>
      <c r="I818" s="63"/>
      <c r="J818" s="63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>
      <c r="A819" s="62"/>
      <c r="B819" s="63"/>
      <c r="C819" s="63"/>
      <c r="D819" s="63"/>
      <c r="E819" s="63"/>
      <c r="F819" s="63"/>
      <c r="G819" s="63"/>
      <c r="H819" s="63"/>
      <c r="I819" s="63"/>
      <c r="J819" s="63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>
      <c r="A820" s="62"/>
      <c r="B820" s="63"/>
      <c r="C820" s="63"/>
      <c r="D820" s="63"/>
      <c r="E820" s="63"/>
      <c r="F820" s="63"/>
      <c r="G820" s="63"/>
      <c r="H820" s="63"/>
      <c r="I820" s="63"/>
      <c r="J820" s="63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>
      <c r="A821" s="62"/>
      <c r="B821" s="63"/>
      <c r="C821" s="63"/>
      <c r="D821" s="63"/>
      <c r="E821" s="63"/>
      <c r="F821" s="63"/>
      <c r="G821" s="63"/>
      <c r="H821" s="63"/>
      <c r="I821" s="63"/>
      <c r="J821" s="63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>
      <c r="A822" s="62"/>
      <c r="B822" s="63"/>
      <c r="C822" s="63"/>
      <c r="D822" s="63"/>
      <c r="E822" s="63"/>
      <c r="F822" s="63"/>
      <c r="G822" s="63"/>
      <c r="H822" s="63"/>
      <c r="I822" s="63"/>
      <c r="J822" s="63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>
      <c r="A823" s="62"/>
      <c r="B823" s="63"/>
      <c r="C823" s="63"/>
      <c r="D823" s="63"/>
      <c r="E823" s="63"/>
      <c r="F823" s="63"/>
      <c r="G823" s="63"/>
      <c r="H823" s="63"/>
      <c r="I823" s="63"/>
      <c r="J823" s="63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>
      <c r="A824" s="62"/>
      <c r="B824" s="63"/>
      <c r="C824" s="63"/>
      <c r="D824" s="63"/>
      <c r="E824" s="63"/>
      <c r="F824" s="63"/>
      <c r="G824" s="63"/>
      <c r="H824" s="63"/>
      <c r="I824" s="63"/>
      <c r="J824" s="63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>
      <c r="A825" s="62"/>
      <c r="B825" s="63"/>
      <c r="C825" s="63"/>
      <c r="D825" s="63"/>
      <c r="E825" s="63"/>
      <c r="F825" s="63"/>
      <c r="G825" s="63"/>
      <c r="H825" s="63"/>
      <c r="I825" s="63"/>
      <c r="J825" s="63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>
      <c r="A826" s="62"/>
      <c r="B826" s="63"/>
      <c r="C826" s="63"/>
      <c r="D826" s="63"/>
      <c r="E826" s="63"/>
      <c r="F826" s="63"/>
      <c r="G826" s="63"/>
      <c r="H826" s="63"/>
      <c r="I826" s="63"/>
      <c r="J826" s="63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>
      <c r="A827" s="62"/>
      <c r="B827" s="63"/>
      <c r="C827" s="63"/>
      <c r="D827" s="63"/>
      <c r="E827" s="63"/>
      <c r="F827" s="63"/>
      <c r="G827" s="63"/>
      <c r="H827" s="63"/>
      <c r="I827" s="63"/>
      <c r="J827" s="63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>
      <c r="A828" s="62"/>
      <c r="B828" s="63"/>
      <c r="C828" s="63"/>
      <c r="D828" s="63"/>
      <c r="E828" s="63"/>
      <c r="F828" s="63"/>
      <c r="G828" s="63"/>
      <c r="H828" s="63"/>
      <c r="I828" s="63"/>
      <c r="J828" s="63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>
      <c r="A829" s="62"/>
      <c r="B829" s="63"/>
      <c r="C829" s="63"/>
      <c r="D829" s="63"/>
      <c r="E829" s="63"/>
      <c r="F829" s="63"/>
      <c r="G829" s="63"/>
      <c r="H829" s="63"/>
      <c r="I829" s="63"/>
      <c r="J829" s="63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>
      <c r="A830" s="62"/>
      <c r="B830" s="63"/>
      <c r="C830" s="63"/>
      <c r="D830" s="63"/>
      <c r="E830" s="63"/>
      <c r="F830" s="63"/>
      <c r="G830" s="63"/>
      <c r="H830" s="63"/>
      <c r="I830" s="63"/>
      <c r="J830" s="63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>
      <c r="A831" s="62"/>
      <c r="B831" s="63"/>
      <c r="C831" s="63"/>
      <c r="D831" s="63"/>
      <c r="E831" s="63"/>
      <c r="F831" s="63"/>
      <c r="G831" s="63"/>
      <c r="H831" s="63"/>
      <c r="I831" s="63"/>
      <c r="J831" s="63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>
      <c r="A832" s="62"/>
      <c r="B832" s="63"/>
      <c r="C832" s="63"/>
      <c r="D832" s="63"/>
      <c r="E832" s="63"/>
      <c r="F832" s="63"/>
      <c r="G832" s="63"/>
      <c r="H832" s="63"/>
      <c r="I832" s="63"/>
      <c r="J832" s="63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>
      <c r="A833" s="62"/>
      <c r="B833" s="63"/>
      <c r="C833" s="63"/>
      <c r="D833" s="63"/>
      <c r="E833" s="63"/>
      <c r="F833" s="63"/>
      <c r="G833" s="63"/>
      <c r="H833" s="63"/>
      <c r="I833" s="63"/>
      <c r="J833" s="63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>
      <c r="A834" s="62"/>
      <c r="B834" s="63"/>
      <c r="C834" s="63"/>
      <c r="D834" s="63"/>
      <c r="E834" s="63"/>
      <c r="F834" s="63"/>
      <c r="G834" s="63"/>
      <c r="H834" s="63"/>
      <c r="I834" s="63"/>
      <c r="J834" s="63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>
      <c r="A835" s="62"/>
      <c r="B835" s="63"/>
      <c r="C835" s="63"/>
      <c r="D835" s="63"/>
      <c r="E835" s="63"/>
      <c r="F835" s="63"/>
      <c r="G835" s="63"/>
      <c r="H835" s="63"/>
      <c r="I835" s="63"/>
      <c r="J835" s="63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>
      <c r="A836" s="62"/>
      <c r="B836" s="63"/>
      <c r="C836" s="63"/>
      <c r="D836" s="63"/>
      <c r="E836" s="63"/>
      <c r="F836" s="63"/>
      <c r="G836" s="63"/>
      <c r="H836" s="63"/>
      <c r="I836" s="63"/>
      <c r="J836" s="63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>
      <c r="A837" s="62"/>
      <c r="B837" s="63"/>
      <c r="C837" s="63"/>
      <c r="D837" s="63"/>
      <c r="E837" s="63"/>
      <c r="F837" s="63"/>
      <c r="G837" s="63"/>
      <c r="H837" s="63"/>
      <c r="I837" s="63"/>
      <c r="J837" s="63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>
      <c r="A838" s="62"/>
      <c r="B838" s="63"/>
      <c r="C838" s="63"/>
      <c r="D838" s="63"/>
      <c r="E838" s="63"/>
      <c r="F838" s="63"/>
      <c r="G838" s="63"/>
      <c r="H838" s="63"/>
      <c r="I838" s="63"/>
      <c r="J838" s="63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>
      <c r="A839" s="62"/>
      <c r="B839" s="63"/>
      <c r="C839" s="63"/>
      <c r="D839" s="63"/>
      <c r="E839" s="63"/>
      <c r="F839" s="63"/>
      <c r="G839" s="63"/>
      <c r="H839" s="63"/>
      <c r="I839" s="63"/>
      <c r="J839" s="63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>
      <c r="A840" s="62"/>
      <c r="B840" s="63"/>
      <c r="C840" s="63"/>
      <c r="D840" s="63"/>
      <c r="E840" s="63"/>
      <c r="F840" s="63"/>
      <c r="G840" s="63"/>
      <c r="H840" s="63"/>
      <c r="I840" s="63"/>
      <c r="J840" s="63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>
      <c r="A841" s="62"/>
      <c r="B841" s="63"/>
      <c r="C841" s="63"/>
      <c r="D841" s="63"/>
      <c r="E841" s="63"/>
      <c r="F841" s="63"/>
      <c r="G841" s="63"/>
      <c r="H841" s="63"/>
      <c r="I841" s="63"/>
      <c r="J841" s="63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>
      <c r="A842" s="62"/>
      <c r="B842" s="63"/>
      <c r="C842" s="63"/>
      <c r="D842" s="63"/>
      <c r="E842" s="63"/>
      <c r="F842" s="63"/>
      <c r="G842" s="63"/>
      <c r="H842" s="63"/>
      <c r="I842" s="63"/>
      <c r="J842" s="63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>
      <c r="A843" s="62"/>
      <c r="B843" s="63"/>
      <c r="C843" s="63"/>
      <c r="D843" s="63"/>
      <c r="E843" s="63"/>
      <c r="F843" s="63"/>
      <c r="G843" s="63"/>
      <c r="H843" s="63"/>
      <c r="I843" s="63"/>
      <c r="J843" s="63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>
      <c r="A844" s="62"/>
      <c r="B844" s="63"/>
      <c r="C844" s="63"/>
      <c r="D844" s="63"/>
      <c r="E844" s="63"/>
      <c r="F844" s="63"/>
      <c r="G844" s="63"/>
      <c r="H844" s="63"/>
      <c r="I844" s="63"/>
      <c r="J844" s="63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>
      <c r="A845" s="62"/>
      <c r="B845" s="63"/>
      <c r="C845" s="63"/>
      <c r="D845" s="63"/>
      <c r="E845" s="63"/>
      <c r="F845" s="63"/>
      <c r="G845" s="63"/>
      <c r="H845" s="63"/>
      <c r="I845" s="63"/>
      <c r="J845" s="63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>
      <c r="A846" s="62"/>
      <c r="B846" s="63"/>
      <c r="C846" s="63"/>
      <c r="D846" s="63"/>
      <c r="E846" s="63"/>
      <c r="F846" s="63"/>
      <c r="G846" s="63"/>
      <c r="H846" s="63"/>
      <c r="I846" s="63"/>
      <c r="J846" s="63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>
      <c r="A847" s="62"/>
      <c r="B847" s="63"/>
      <c r="C847" s="63"/>
      <c r="D847" s="63"/>
      <c r="E847" s="63"/>
      <c r="F847" s="63"/>
      <c r="G847" s="63"/>
      <c r="H847" s="63"/>
      <c r="I847" s="63"/>
      <c r="J847" s="63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>
      <c r="A848" s="62"/>
      <c r="B848" s="63"/>
      <c r="C848" s="63"/>
      <c r="D848" s="63"/>
      <c r="E848" s="63"/>
      <c r="F848" s="63"/>
      <c r="G848" s="63"/>
      <c r="H848" s="63"/>
      <c r="I848" s="63"/>
      <c r="J848" s="63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>
      <c r="A849" s="62"/>
      <c r="B849" s="63"/>
      <c r="C849" s="63"/>
      <c r="D849" s="63"/>
      <c r="E849" s="63"/>
      <c r="F849" s="63"/>
      <c r="G849" s="63"/>
      <c r="H849" s="63"/>
      <c r="I849" s="63"/>
      <c r="J849" s="63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>
      <c r="A850" s="62"/>
      <c r="B850" s="63"/>
      <c r="C850" s="63"/>
      <c r="D850" s="63"/>
      <c r="E850" s="63"/>
      <c r="F850" s="63"/>
      <c r="G850" s="63"/>
      <c r="H850" s="63"/>
      <c r="I850" s="63"/>
      <c r="J850" s="63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>
      <c r="A851" s="62"/>
      <c r="B851" s="63"/>
      <c r="C851" s="63"/>
      <c r="D851" s="63"/>
      <c r="E851" s="63"/>
      <c r="F851" s="63"/>
      <c r="G851" s="63"/>
      <c r="H851" s="63"/>
      <c r="I851" s="63"/>
      <c r="J851" s="63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>
      <c r="A852" s="62"/>
      <c r="B852" s="63"/>
      <c r="C852" s="63"/>
      <c r="D852" s="63"/>
      <c r="E852" s="63"/>
      <c r="F852" s="63"/>
      <c r="G852" s="63"/>
      <c r="H852" s="63"/>
      <c r="I852" s="63"/>
      <c r="J852" s="63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>
      <c r="A853" s="62"/>
      <c r="B853" s="63"/>
      <c r="C853" s="63"/>
      <c r="D853" s="63"/>
      <c r="E853" s="63"/>
      <c r="F853" s="63"/>
      <c r="G853" s="63"/>
      <c r="H853" s="63"/>
      <c r="I853" s="63"/>
      <c r="J853" s="63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>
      <c r="A854" s="62"/>
      <c r="B854" s="63"/>
      <c r="C854" s="63"/>
      <c r="D854" s="63"/>
      <c r="E854" s="63"/>
      <c r="F854" s="63"/>
      <c r="G854" s="63"/>
      <c r="H854" s="63"/>
      <c r="I854" s="63"/>
      <c r="J854" s="63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>
      <c r="A855" s="62"/>
      <c r="B855" s="63"/>
      <c r="C855" s="63"/>
      <c r="D855" s="63"/>
      <c r="E855" s="63"/>
      <c r="F855" s="63"/>
      <c r="G855" s="63"/>
      <c r="H855" s="63"/>
      <c r="I855" s="63"/>
      <c r="J855" s="63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>
      <c r="A856" s="62"/>
      <c r="B856" s="63"/>
      <c r="C856" s="63"/>
      <c r="D856" s="63"/>
      <c r="E856" s="63"/>
      <c r="F856" s="63"/>
      <c r="G856" s="63"/>
      <c r="H856" s="63"/>
      <c r="I856" s="63"/>
      <c r="J856" s="63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>
      <c r="A857" s="62"/>
      <c r="B857" s="63"/>
      <c r="C857" s="63"/>
      <c r="D857" s="63"/>
      <c r="E857" s="63"/>
      <c r="F857" s="63"/>
      <c r="G857" s="63"/>
      <c r="H857" s="63"/>
      <c r="I857" s="63"/>
      <c r="J857" s="63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>
      <c r="A858" s="62"/>
      <c r="B858" s="63"/>
      <c r="C858" s="63"/>
      <c r="D858" s="63"/>
      <c r="E858" s="63"/>
      <c r="F858" s="63"/>
      <c r="G858" s="63"/>
      <c r="H858" s="63"/>
      <c r="I858" s="63"/>
      <c r="J858" s="63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>
      <c r="A859" s="62"/>
      <c r="B859" s="63"/>
      <c r="C859" s="63"/>
      <c r="D859" s="63"/>
      <c r="E859" s="63"/>
      <c r="F859" s="63"/>
      <c r="G859" s="63"/>
      <c r="H859" s="63"/>
      <c r="I859" s="63"/>
      <c r="J859" s="63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>
      <c r="A860" s="62"/>
      <c r="B860" s="63"/>
      <c r="C860" s="63"/>
      <c r="D860" s="63"/>
      <c r="E860" s="63"/>
      <c r="F860" s="63"/>
      <c r="G860" s="63"/>
      <c r="H860" s="63"/>
      <c r="I860" s="63"/>
      <c r="J860" s="63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>
      <c r="A861" s="62"/>
      <c r="B861" s="63"/>
      <c r="C861" s="63"/>
      <c r="D861" s="63"/>
      <c r="E861" s="63"/>
      <c r="F861" s="63"/>
      <c r="G861" s="63"/>
      <c r="H861" s="63"/>
      <c r="I861" s="63"/>
      <c r="J861" s="63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>
      <c r="A862" s="62"/>
      <c r="B862" s="63"/>
      <c r="C862" s="63"/>
      <c r="D862" s="63"/>
      <c r="E862" s="63"/>
      <c r="F862" s="63"/>
      <c r="G862" s="63"/>
      <c r="H862" s="63"/>
      <c r="I862" s="63"/>
      <c r="J862" s="63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>
      <c r="A863" s="62"/>
      <c r="B863" s="63"/>
      <c r="C863" s="63"/>
      <c r="D863" s="63"/>
      <c r="E863" s="63"/>
      <c r="F863" s="63"/>
      <c r="G863" s="63"/>
      <c r="H863" s="63"/>
      <c r="I863" s="63"/>
      <c r="J863" s="63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>
      <c r="A864" s="62"/>
      <c r="B864" s="63"/>
      <c r="C864" s="63"/>
      <c r="D864" s="63"/>
      <c r="E864" s="63"/>
      <c r="F864" s="63"/>
      <c r="G864" s="63"/>
      <c r="H864" s="63"/>
      <c r="I864" s="63"/>
      <c r="J864" s="63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>
      <c r="A865" s="62"/>
      <c r="B865" s="63"/>
      <c r="C865" s="63"/>
      <c r="D865" s="63"/>
      <c r="E865" s="63"/>
      <c r="F865" s="63"/>
      <c r="G865" s="63"/>
      <c r="H865" s="63"/>
      <c r="I865" s="63"/>
      <c r="J865" s="63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>
      <c r="A866" s="62"/>
      <c r="B866" s="63"/>
      <c r="C866" s="63"/>
      <c r="D866" s="63"/>
      <c r="E866" s="63"/>
      <c r="F866" s="63"/>
      <c r="G866" s="63"/>
      <c r="H866" s="63"/>
      <c r="I866" s="63"/>
      <c r="J866" s="63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>
      <c r="A867" s="62"/>
      <c r="B867" s="63"/>
      <c r="C867" s="63"/>
      <c r="D867" s="63"/>
      <c r="E867" s="63"/>
      <c r="F867" s="63"/>
      <c r="G867" s="63"/>
      <c r="H867" s="63"/>
      <c r="I867" s="63"/>
      <c r="J867" s="63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>
      <c r="A868" s="62"/>
      <c r="B868" s="63"/>
      <c r="C868" s="63"/>
      <c r="D868" s="63"/>
      <c r="E868" s="63"/>
      <c r="F868" s="63"/>
      <c r="G868" s="63"/>
      <c r="H868" s="63"/>
      <c r="I868" s="63"/>
      <c r="J868" s="63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>
      <c r="A869" s="62"/>
      <c r="B869" s="63"/>
      <c r="C869" s="63"/>
      <c r="D869" s="63"/>
      <c r="E869" s="63"/>
      <c r="F869" s="63"/>
      <c r="G869" s="63"/>
      <c r="H869" s="63"/>
      <c r="I869" s="63"/>
      <c r="J869" s="63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>
      <c r="A870" s="62"/>
      <c r="B870" s="63"/>
      <c r="C870" s="63"/>
      <c r="D870" s="63"/>
      <c r="E870" s="63"/>
      <c r="F870" s="63"/>
      <c r="G870" s="63"/>
      <c r="H870" s="63"/>
      <c r="I870" s="63"/>
      <c r="J870" s="63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>
      <c r="A871" s="62"/>
      <c r="B871" s="63"/>
      <c r="C871" s="63"/>
      <c r="D871" s="63"/>
      <c r="E871" s="63"/>
      <c r="F871" s="63"/>
      <c r="G871" s="63"/>
      <c r="H871" s="63"/>
      <c r="I871" s="63"/>
      <c r="J871" s="63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>
      <c r="A872" s="62"/>
      <c r="B872" s="63"/>
      <c r="C872" s="63"/>
      <c r="D872" s="63"/>
      <c r="E872" s="63"/>
      <c r="F872" s="63"/>
      <c r="G872" s="63"/>
      <c r="H872" s="63"/>
      <c r="I872" s="63"/>
      <c r="J872" s="63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>
      <c r="A873" s="62"/>
      <c r="B873" s="63"/>
      <c r="C873" s="63"/>
      <c r="D873" s="63"/>
      <c r="E873" s="63"/>
      <c r="F873" s="63"/>
      <c r="G873" s="63"/>
      <c r="H873" s="63"/>
      <c r="I873" s="63"/>
      <c r="J873" s="63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>
      <c r="A874" s="62"/>
      <c r="B874" s="63"/>
      <c r="C874" s="63"/>
      <c r="D874" s="63"/>
      <c r="E874" s="63"/>
      <c r="F874" s="63"/>
      <c r="G874" s="63"/>
      <c r="H874" s="63"/>
      <c r="I874" s="63"/>
      <c r="J874" s="63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>
      <c r="A875" s="62"/>
      <c r="B875" s="63"/>
      <c r="C875" s="63"/>
      <c r="D875" s="63"/>
      <c r="E875" s="63"/>
      <c r="F875" s="63"/>
      <c r="G875" s="63"/>
      <c r="H875" s="63"/>
      <c r="I875" s="63"/>
      <c r="J875" s="63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>
      <c r="A876" s="62"/>
      <c r="B876" s="63"/>
      <c r="C876" s="63"/>
      <c r="D876" s="63"/>
      <c r="E876" s="63"/>
      <c r="F876" s="63"/>
      <c r="G876" s="63"/>
      <c r="H876" s="63"/>
      <c r="I876" s="63"/>
      <c r="J876" s="63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>
      <c r="A877" s="62"/>
      <c r="B877" s="63"/>
      <c r="C877" s="63"/>
      <c r="D877" s="63"/>
      <c r="E877" s="63"/>
      <c r="F877" s="63"/>
      <c r="G877" s="63"/>
      <c r="H877" s="63"/>
      <c r="I877" s="63"/>
      <c r="J877" s="63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>
      <c r="A878" s="62"/>
      <c r="B878" s="63"/>
      <c r="C878" s="63"/>
      <c r="D878" s="63"/>
      <c r="E878" s="63"/>
      <c r="F878" s="63"/>
      <c r="G878" s="63"/>
      <c r="H878" s="63"/>
      <c r="I878" s="63"/>
      <c r="J878" s="63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>
      <c r="A879" s="62"/>
      <c r="B879" s="63"/>
      <c r="C879" s="63"/>
      <c r="D879" s="63"/>
      <c r="E879" s="63"/>
      <c r="F879" s="63"/>
      <c r="G879" s="63"/>
      <c r="H879" s="63"/>
      <c r="I879" s="63"/>
      <c r="J879" s="63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>
      <c r="A880" s="62"/>
      <c r="B880" s="63"/>
      <c r="C880" s="63"/>
      <c r="D880" s="63"/>
      <c r="E880" s="63"/>
      <c r="F880" s="63"/>
      <c r="G880" s="63"/>
      <c r="H880" s="63"/>
      <c r="I880" s="63"/>
      <c r="J880" s="63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>
      <c r="A881" s="62"/>
      <c r="B881" s="63"/>
      <c r="C881" s="63"/>
      <c r="D881" s="63"/>
      <c r="E881" s="63"/>
      <c r="F881" s="63"/>
      <c r="G881" s="63"/>
      <c r="H881" s="63"/>
      <c r="I881" s="63"/>
      <c r="J881" s="63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>
      <c r="A882" s="62"/>
      <c r="B882" s="63"/>
      <c r="C882" s="63"/>
      <c r="D882" s="63"/>
      <c r="E882" s="63"/>
      <c r="F882" s="63"/>
      <c r="G882" s="63"/>
      <c r="H882" s="63"/>
      <c r="I882" s="63"/>
      <c r="J882" s="63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>
      <c r="A883" s="62"/>
      <c r="B883" s="63"/>
      <c r="C883" s="63"/>
      <c r="D883" s="63"/>
      <c r="E883" s="63"/>
      <c r="F883" s="63"/>
      <c r="G883" s="63"/>
      <c r="H883" s="63"/>
      <c r="I883" s="63"/>
      <c r="J883" s="63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>
      <c r="A884" s="62"/>
      <c r="B884" s="63"/>
      <c r="C884" s="63"/>
      <c r="D884" s="63"/>
      <c r="E884" s="63"/>
      <c r="F884" s="63"/>
      <c r="G884" s="63"/>
      <c r="H884" s="63"/>
      <c r="I884" s="63"/>
      <c r="J884" s="63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>
      <c r="A885" s="62"/>
      <c r="B885" s="63"/>
      <c r="C885" s="63"/>
      <c r="D885" s="63"/>
      <c r="E885" s="63"/>
      <c r="F885" s="63"/>
      <c r="G885" s="63"/>
      <c r="H885" s="63"/>
      <c r="I885" s="63"/>
      <c r="J885" s="63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>
      <c r="A886" s="62"/>
      <c r="B886" s="63"/>
      <c r="C886" s="63"/>
      <c r="D886" s="63"/>
      <c r="E886" s="63"/>
      <c r="F886" s="63"/>
      <c r="G886" s="63"/>
      <c r="H886" s="63"/>
      <c r="I886" s="63"/>
      <c r="J886" s="63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>
      <c r="A887" s="62"/>
      <c r="B887" s="63"/>
      <c r="C887" s="63"/>
      <c r="D887" s="63"/>
      <c r="E887" s="63"/>
      <c r="F887" s="63"/>
      <c r="G887" s="63"/>
      <c r="H887" s="63"/>
      <c r="I887" s="63"/>
      <c r="J887" s="63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>
      <c r="A888" s="62"/>
      <c r="B888" s="63"/>
      <c r="C888" s="63"/>
      <c r="D888" s="63"/>
      <c r="E888" s="63"/>
      <c r="F888" s="63"/>
      <c r="G888" s="63"/>
      <c r="H888" s="63"/>
      <c r="I888" s="63"/>
      <c r="J888" s="63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>
      <c r="A889" s="62"/>
      <c r="B889" s="63"/>
      <c r="C889" s="63"/>
      <c r="D889" s="63"/>
      <c r="E889" s="63"/>
      <c r="F889" s="63"/>
      <c r="G889" s="63"/>
      <c r="H889" s="63"/>
      <c r="I889" s="63"/>
      <c r="J889" s="63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>
      <c r="A890" s="62"/>
      <c r="B890" s="63"/>
      <c r="C890" s="63"/>
      <c r="D890" s="63"/>
      <c r="E890" s="63"/>
      <c r="F890" s="63"/>
      <c r="G890" s="63"/>
      <c r="H890" s="63"/>
      <c r="I890" s="63"/>
      <c r="J890" s="63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>
      <c r="A891" s="62"/>
      <c r="B891" s="63"/>
      <c r="C891" s="63"/>
      <c r="D891" s="63"/>
      <c r="E891" s="63"/>
      <c r="F891" s="63"/>
      <c r="G891" s="63"/>
      <c r="H891" s="63"/>
      <c r="I891" s="63"/>
      <c r="J891" s="63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>
      <c r="A892" s="62"/>
      <c r="B892" s="63"/>
      <c r="C892" s="63"/>
      <c r="D892" s="63"/>
      <c r="E892" s="63"/>
      <c r="F892" s="63"/>
      <c r="G892" s="63"/>
      <c r="H892" s="63"/>
      <c r="I892" s="63"/>
      <c r="J892" s="63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>
      <c r="A893" s="62"/>
      <c r="B893" s="63"/>
      <c r="C893" s="63"/>
      <c r="D893" s="63"/>
      <c r="E893" s="63"/>
      <c r="F893" s="63"/>
      <c r="G893" s="63"/>
      <c r="H893" s="63"/>
      <c r="I893" s="63"/>
      <c r="J893" s="63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>
      <c r="A894" s="62"/>
      <c r="B894" s="63"/>
      <c r="C894" s="63"/>
      <c r="D894" s="63"/>
      <c r="E894" s="63"/>
      <c r="F894" s="63"/>
      <c r="G894" s="63"/>
      <c r="H894" s="63"/>
      <c r="I894" s="63"/>
      <c r="J894" s="63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>
      <c r="A895" s="62"/>
      <c r="B895" s="63"/>
      <c r="C895" s="63"/>
      <c r="D895" s="63"/>
      <c r="E895" s="63"/>
      <c r="F895" s="63"/>
      <c r="G895" s="63"/>
      <c r="H895" s="63"/>
      <c r="I895" s="63"/>
      <c r="J895" s="63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>
      <c r="A896" s="62"/>
      <c r="B896" s="63"/>
      <c r="C896" s="63"/>
      <c r="D896" s="63"/>
      <c r="E896" s="63"/>
      <c r="F896" s="63"/>
      <c r="G896" s="63"/>
      <c r="H896" s="63"/>
      <c r="I896" s="63"/>
      <c r="J896" s="63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>
      <c r="A897" s="62"/>
      <c r="B897" s="63"/>
      <c r="C897" s="63"/>
      <c r="D897" s="63"/>
      <c r="E897" s="63"/>
      <c r="F897" s="63"/>
      <c r="G897" s="63"/>
      <c r="H897" s="63"/>
      <c r="I897" s="63"/>
      <c r="J897" s="63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>
      <c r="A898" s="62"/>
      <c r="B898" s="63"/>
      <c r="C898" s="63"/>
      <c r="D898" s="63"/>
      <c r="E898" s="63"/>
      <c r="F898" s="63"/>
      <c r="G898" s="63"/>
      <c r="H898" s="63"/>
      <c r="I898" s="63"/>
      <c r="J898" s="63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>
      <c r="A899" s="62"/>
      <c r="B899" s="63"/>
      <c r="C899" s="63"/>
      <c r="D899" s="63"/>
      <c r="E899" s="63"/>
      <c r="F899" s="63"/>
      <c r="G899" s="63"/>
      <c r="H899" s="63"/>
      <c r="I899" s="63"/>
      <c r="J899" s="63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>
      <c r="A900" s="62"/>
      <c r="B900" s="63"/>
      <c r="C900" s="63"/>
      <c r="D900" s="63"/>
      <c r="E900" s="63"/>
      <c r="F900" s="63"/>
      <c r="G900" s="63"/>
      <c r="H900" s="63"/>
      <c r="I900" s="63"/>
      <c r="J900" s="63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>
      <c r="A901" s="62"/>
      <c r="B901" s="63"/>
      <c r="C901" s="63"/>
      <c r="D901" s="63"/>
      <c r="E901" s="63"/>
      <c r="F901" s="63"/>
      <c r="G901" s="63"/>
      <c r="H901" s="63"/>
      <c r="I901" s="63"/>
      <c r="J901" s="63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>
      <c r="A902" s="62"/>
      <c r="B902" s="63"/>
      <c r="C902" s="63"/>
      <c r="D902" s="63"/>
      <c r="E902" s="63"/>
      <c r="F902" s="63"/>
      <c r="G902" s="63"/>
      <c r="H902" s="63"/>
      <c r="I902" s="63"/>
      <c r="J902" s="63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>
      <c r="A903" s="62"/>
      <c r="B903" s="63"/>
      <c r="C903" s="63"/>
      <c r="D903" s="63"/>
      <c r="E903" s="63"/>
      <c r="F903" s="63"/>
      <c r="G903" s="63"/>
      <c r="H903" s="63"/>
      <c r="I903" s="63"/>
      <c r="J903" s="63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>
      <c r="A904" s="62"/>
      <c r="B904" s="63"/>
      <c r="C904" s="63"/>
      <c r="D904" s="63"/>
      <c r="E904" s="63"/>
      <c r="F904" s="63"/>
      <c r="G904" s="63"/>
      <c r="H904" s="63"/>
      <c r="I904" s="63"/>
      <c r="J904" s="63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>
      <c r="A905" s="62"/>
      <c r="B905" s="63"/>
      <c r="C905" s="63"/>
      <c r="D905" s="63"/>
      <c r="E905" s="63"/>
      <c r="F905" s="63"/>
      <c r="G905" s="63"/>
      <c r="H905" s="63"/>
      <c r="I905" s="63"/>
      <c r="J905" s="63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>
      <c r="A906" s="62"/>
      <c r="B906" s="63"/>
      <c r="C906" s="63"/>
      <c r="D906" s="63"/>
      <c r="E906" s="63"/>
      <c r="F906" s="63"/>
      <c r="G906" s="63"/>
      <c r="H906" s="63"/>
      <c r="I906" s="63"/>
      <c r="J906" s="63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>
      <c r="A907" s="62"/>
      <c r="B907" s="63"/>
      <c r="C907" s="63"/>
      <c r="D907" s="63"/>
      <c r="E907" s="63"/>
      <c r="F907" s="63"/>
      <c r="G907" s="63"/>
      <c r="H907" s="63"/>
      <c r="I907" s="63"/>
      <c r="J907" s="63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>
      <c r="A908" s="62"/>
      <c r="B908" s="63"/>
      <c r="C908" s="63"/>
      <c r="D908" s="63"/>
      <c r="E908" s="63"/>
      <c r="F908" s="63"/>
      <c r="G908" s="63"/>
      <c r="H908" s="63"/>
      <c r="I908" s="63"/>
      <c r="J908" s="63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>
      <c r="A909" s="62"/>
      <c r="B909" s="63"/>
      <c r="C909" s="63"/>
      <c r="D909" s="63"/>
      <c r="E909" s="63"/>
      <c r="F909" s="63"/>
      <c r="G909" s="63"/>
      <c r="H909" s="63"/>
      <c r="I909" s="63"/>
      <c r="J909" s="63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>
      <c r="A910" s="62"/>
      <c r="B910" s="63"/>
      <c r="C910" s="63"/>
      <c r="D910" s="63"/>
      <c r="E910" s="63"/>
      <c r="F910" s="63"/>
      <c r="G910" s="63"/>
      <c r="H910" s="63"/>
      <c r="I910" s="63"/>
      <c r="J910" s="63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>
      <c r="A911" s="62"/>
      <c r="B911" s="63"/>
      <c r="C911" s="63"/>
      <c r="D911" s="63"/>
      <c r="E911" s="63"/>
      <c r="F911" s="63"/>
      <c r="G911" s="63"/>
      <c r="H911" s="63"/>
      <c r="I911" s="63"/>
      <c r="J911" s="63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>
      <c r="A912" s="62"/>
      <c r="B912" s="63"/>
      <c r="C912" s="63"/>
      <c r="D912" s="63"/>
      <c r="E912" s="63"/>
      <c r="F912" s="63"/>
      <c r="G912" s="63"/>
      <c r="H912" s="63"/>
      <c r="I912" s="63"/>
      <c r="J912" s="63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>
      <c r="A913" s="62"/>
      <c r="B913" s="63"/>
      <c r="C913" s="63"/>
      <c r="D913" s="63"/>
      <c r="E913" s="63"/>
      <c r="F913" s="63"/>
      <c r="G913" s="63"/>
      <c r="H913" s="63"/>
      <c r="I913" s="63"/>
      <c r="J913" s="63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>
      <c r="A914" s="62"/>
      <c r="B914" s="63"/>
      <c r="C914" s="63"/>
      <c r="D914" s="63"/>
      <c r="E914" s="63"/>
      <c r="F914" s="63"/>
      <c r="G914" s="63"/>
      <c r="H914" s="63"/>
      <c r="I914" s="63"/>
      <c r="J914" s="63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>
      <c r="A915" s="62"/>
      <c r="B915" s="63"/>
      <c r="C915" s="63"/>
      <c r="D915" s="63"/>
      <c r="E915" s="63"/>
      <c r="F915" s="63"/>
      <c r="G915" s="63"/>
      <c r="H915" s="63"/>
      <c r="I915" s="63"/>
      <c r="J915" s="63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>
      <c r="A916" s="62"/>
      <c r="B916" s="63"/>
      <c r="C916" s="63"/>
      <c r="D916" s="63"/>
      <c r="E916" s="63"/>
      <c r="F916" s="63"/>
      <c r="G916" s="63"/>
      <c r="H916" s="63"/>
      <c r="I916" s="63"/>
      <c r="J916" s="63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>
      <c r="A917" s="62"/>
      <c r="B917" s="63"/>
      <c r="C917" s="63"/>
      <c r="D917" s="63"/>
      <c r="E917" s="63"/>
      <c r="F917" s="63"/>
      <c r="G917" s="63"/>
      <c r="H917" s="63"/>
      <c r="I917" s="63"/>
      <c r="J917" s="63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>
      <c r="A918" s="62"/>
      <c r="B918" s="63"/>
      <c r="C918" s="63"/>
      <c r="D918" s="63"/>
      <c r="E918" s="63"/>
      <c r="F918" s="63"/>
      <c r="G918" s="63"/>
      <c r="H918" s="63"/>
      <c r="I918" s="63"/>
      <c r="J918" s="63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>
      <c r="A919" s="62"/>
      <c r="B919" s="63"/>
      <c r="C919" s="63"/>
      <c r="D919" s="63"/>
      <c r="E919" s="63"/>
      <c r="F919" s="63"/>
      <c r="G919" s="63"/>
      <c r="H919" s="63"/>
      <c r="I919" s="63"/>
      <c r="J919" s="63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>
      <c r="A920" s="62"/>
      <c r="B920" s="63"/>
      <c r="C920" s="63"/>
      <c r="D920" s="63"/>
      <c r="E920" s="63"/>
      <c r="F920" s="63"/>
      <c r="G920" s="63"/>
      <c r="H920" s="63"/>
      <c r="I920" s="63"/>
      <c r="J920" s="63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>
      <c r="A921" s="62"/>
      <c r="B921" s="63"/>
      <c r="C921" s="63"/>
      <c r="D921" s="63"/>
      <c r="E921" s="63"/>
      <c r="F921" s="63"/>
      <c r="G921" s="63"/>
      <c r="H921" s="63"/>
      <c r="I921" s="63"/>
      <c r="J921" s="63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>
      <c r="A922" s="62"/>
      <c r="B922" s="63"/>
      <c r="C922" s="63"/>
      <c r="D922" s="63"/>
      <c r="E922" s="63"/>
      <c r="F922" s="63"/>
      <c r="G922" s="63"/>
      <c r="H922" s="63"/>
      <c r="I922" s="63"/>
      <c r="J922" s="63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>
      <c r="A923" s="62"/>
      <c r="B923" s="63"/>
      <c r="C923" s="63"/>
      <c r="D923" s="63"/>
      <c r="E923" s="63"/>
      <c r="F923" s="63"/>
      <c r="G923" s="63"/>
      <c r="H923" s="63"/>
      <c r="I923" s="63"/>
      <c r="J923" s="63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>
      <c r="A924" s="62"/>
      <c r="B924" s="63"/>
      <c r="C924" s="63"/>
      <c r="D924" s="63"/>
      <c r="E924" s="63"/>
      <c r="F924" s="63"/>
      <c r="G924" s="63"/>
      <c r="H924" s="63"/>
      <c r="I924" s="63"/>
      <c r="J924" s="63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>
      <c r="A925" s="62"/>
      <c r="B925" s="63"/>
      <c r="C925" s="63"/>
      <c r="D925" s="63"/>
      <c r="E925" s="63"/>
      <c r="F925" s="63"/>
      <c r="G925" s="63"/>
      <c r="H925" s="63"/>
      <c r="I925" s="63"/>
      <c r="J925" s="63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>
      <c r="A926" s="62"/>
      <c r="B926" s="63"/>
      <c r="C926" s="63"/>
      <c r="D926" s="63"/>
      <c r="E926" s="63"/>
      <c r="F926" s="63"/>
      <c r="G926" s="63"/>
      <c r="H926" s="63"/>
      <c r="I926" s="63"/>
      <c r="J926" s="63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>
      <c r="A927" s="62"/>
      <c r="B927" s="63"/>
      <c r="C927" s="63"/>
      <c r="D927" s="63"/>
      <c r="E927" s="63"/>
      <c r="F927" s="63"/>
      <c r="G927" s="63"/>
      <c r="H927" s="63"/>
      <c r="I927" s="63"/>
      <c r="J927" s="63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>
      <c r="A928" s="62"/>
      <c r="B928" s="63"/>
      <c r="C928" s="63"/>
      <c r="D928" s="63"/>
      <c r="E928" s="63"/>
      <c r="F928" s="63"/>
      <c r="G928" s="63"/>
      <c r="H928" s="63"/>
      <c r="I928" s="63"/>
      <c r="J928" s="63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>
      <c r="A929" s="62"/>
      <c r="B929" s="63"/>
      <c r="C929" s="63"/>
      <c r="D929" s="63"/>
      <c r="E929" s="63"/>
      <c r="F929" s="63"/>
      <c r="G929" s="63"/>
      <c r="H929" s="63"/>
      <c r="I929" s="63"/>
      <c r="J929" s="63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>
      <c r="A930" s="62"/>
      <c r="B930" s="63"/>
      <c r="C930" s="63"/>
      <c r="D930" s="63"/>
      <c r="E930" s="63"/>
      <c r="F930" s="63"/>
      <c r="G930" s="63"/>
      <c r="H930" s="63"/>
      <c r="I930" s="63"/>
      <c r="J930" s="63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>
      <c r="A931" s="62"/>
      <c r="B931" s="63"/>
      <c r="C931" s="63"/>
      <c r="D931" s="63"/>
      <c r="E931" s="63"/>
      <c r="F931" s="63"/>
      <c r="G931" s="63"/>
      <c r="H931" s="63"/>
      <c r="I931" s="63"/>
      <c r="J931" s="63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>
      <c r="A932" s="62"/>
      <c r="B932" s="63"/>
      <c r="C932" s="63"/>
      <c r="D932" s="63"/>
      <c r="E932" s="63"/>
      <c r="F932" s="63"/>
      <c r="G932" s="63"/>
      <c r="H932" s="63"/>
      <c r="I932" s="63"/>
      <c r="J932" s="63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>
      <c r="A933" s="62"/>
      <c r="B933" s="63"/>
      <c r="C933" s="63"/>
      <c r="D933" s="63"/>
      <c r="E933" s="63"/>
      <c r="F933" s="63"/>
      <c r="G933" s="63"/>
      <c r="H933" s="63"/>
      <c r="I933" s="63"/>
      <c r="J933" s="63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>
      <c r="A934" s="62"/>
      <c r="B934" s="63"/>
      <c r="C934" s="63"/>
      <c r="D934" s="63"/>
      <c r="E934" s="63"/>
      <c r="F934" s="63"/>
      <c r="G934" s="63"/>
      <c r="H934" s="63"/>
      <c r="I934" s="63"/>
      <c r="J934" s="63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>
      <c r="A935" s="62"/>
      <c r="B935" s="63"/>
      <c r="C935" s="63"/>
      <c r="D935" s="63"/>
      <c r="E935" s="63"/>
      <c r="F935" s="63"/>
      <c r="G935" s="63"/>
      <c r="H935" s="63"/>
      <c r="I935" s="63"/>
      <c r="J935" s="63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>
      <c r="A936" s="62"/>
      <c r="B936" s="63"/>
      <c r="C936" s="63"/>
      <c r="D936" s="63"/>
      <c r="E936" s="63"/>
      <c r="F936" s="63"/>
      <c r="G936" s="63"/>
      <c r="H936" s="63"/>
      <c r="I936" s="63"/>
      <c r="J936" s="63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>
      <c r="A937" s="62"/>
      <c r="B937" s="63"/>
      <c r="C937" s="63"/>
      <c r="D937" s="63"/>
      <c r="E937" s="63"/>
      <c r="F937" s="63"/>
      <c r="G937" s="63"/>
      <c r="H937" s="63"/>
      <c r="I937" s="63"/>
      <c r="J937" s="63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>
      <c r="A938" s="62"/>
      <c r="B938" s="63"/>
      <c r="C938" s="63"/>
      <c r="D938" s="63"/>
      <c r="E938" s="63"/>
      <c r="F938" s="63"/>
      <c r="G938" s="63"/>
      <c r="H938" s="63"/>
      <c r="I938" s="63"/>
      <c r="J938" s="63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>
      <c r="A939" s="62"/>
      <c r="B939" s="63"/>
      <c r="C939" s="63"/>
      <c r="D939" s="63"/>
      <c r="E939" s="63"/>
      <c r="F939" s="63"/>
      <c r="G939" s="63"/>
      <c r="H939" s="63"/>
      <c r="I939" s="63"/>
      <c r="J939" s="63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>
      <c r="A940" s="62"/>
      <c r="B940" s="63"/>
      <c r="C940" s="63"/>
      <c r="D940" s="63"/>
      <c r="E940" s="63"/>
      <c r="F940" s="63"/>
      <c r="G940" s="63"/>
      <c r="H940" s="63"/>
      <c r="I940" s="63"/>
      <c r="J940" s="63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>
      <c r="A941" s="62"/>
      <c r="B941" s="63"/>
      <c r="C941" s="63"/>
      <c r="D941" s="63"/>
      <c r="E941" s="63"/>
      <c r="F941" s="63"/>
      <c r="G941" s="63"/>
      <c r="H941" s="63"/>
      <c r="I941" s="63"/>
      <c r="J941" s="63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>
      <c r="A942" s="62"/>
      <c r="B942" s="63"/>
      <c r="C942" s="63"/>
      <c r="D942" s="63"/>
      <c r="E942" s="63"/>
      <c r="F942" s="63"/>
      <c r="G942" s="63"/>
      <c r="H942" s="63"/>
      <c r="I942" s="63"/>
      <c r="J942" s="63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>
      <c r="A943" s="62"/>
      <c r="B943" s="63"/>
      <c r="C943" s="63"/>
      <c r="D943" s="63"/>
      <c r="E943" s="63"/>
      <c r="F943" s="63"/>
      <c r="G943" s="63"/>
      <c r="H943" s="63"/>
      <c r="I943" s="63"/>
      <c r="J943" s="63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>
      <c r="A944" s="62"/>
      <c r="B944" s="63"/>
      <c r="C944" s="63"/>
      <c r="D944" s="63"/>
      <c r="E944" s="63"/>
      <c r="F944" s="63"/>
      <c r="G944" s="63"/>
      <c r="H944" s="63"/>
      <c r="I944" s="63"/>
      <c r="J944" s="63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>
      <c r="A945" s="62"/>
      <c r="B945" s="63"/>
      <c r="C945" s="63"/>
      <c r="D945" s="63"/>
      <c r="E945" s="63"/>
      <c r="F945" s="63"/>
      <c r="G945" s="63"/>
      <c r="H945" s="63"/>
      <c r="I945" s="63"/>
      <c r="J945" s="63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>
      <c r="A946" s="62"/>
      <c r="B946" s="63"/>
      <c r="C946" s="63"/>
      <c r="D946" s="63"/>
      <c r="E946" s="63"/>
      <c r="F946" s="63"/>
      <c r="G946" s="63"/>
      <c r="H946" s="63"/>
      <c r="I946" s="63"/>
      <c r="J946" s="63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>
      <c r="A947" s="62"/>
      <c r="B947" s="63"/>
      <c r="C947" s="63"/>
      <c r="D947" s="63"/>
      <c r="E947" s="63"/>
      <c r="F947" s="63"/>
      <c r="G947" s="63"/>
      <c r="H947" s="63"/>
      <c r="I947" s="63"/>
      <c r="J947" s="63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>
      <c r="A948" s="62"/>
      <c r="B948" s="63"/>
      <c r="C948" s="63"/>
      <c r="D948" s="63"/>
      <c r="E948" s="63"/>
      <c r="F948" s="63"/>
      <c r="G948" s="63"/>
      <c r="H948" s="63"/>
      <c r="I948" s="63"/>
      <c r="J948" s="63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>
      <c r="A949" s="62"/>
      <c r="B949" s="63"/>
      <c r="C949" s="63"/>
      <c r="D949" s="63"/>
      <c r="E949" s="63"/>
      <c r="F949" s="63"/>
      <c r="G949" s="63"/>
      <c r="H949" s="63"/>
      <c r="I949" s="63"/>
      <c r="J949" s="63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>
      <c r="A950" s="62"/>
      <c r="B950" s="63"/>
      <c r="C950" s="63"/>
      <c r="D950" s="63"/>
      <c r="E950" s="63"/>
      <c r="F950" s="63"/>
      <c r="G950" s="63"/>
      <c r="H950" s="63"/>
      <c r="I950" s="63"/>
      <c r="J950" s="63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>
      <c r="A951" s="62"/>
      <c r="B951" s="63"/>
      <c r="C951" s="63"/>
      <c r="D951" s="63"/>
      <c r="E951" s="63"/>
      <c r="F951" s="63"/>
      <c r="G951" s="63"/>
      <c r="H951" s="63"/>
      <c r="I951" s="63"/>
      <c r="J951" s="63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>
      <c r="A952" s="62"/>
      <c r="B952" s="63"/>
      <c r="C952" s="63"/>
      <c r="D952" s="63"/>
      <c r="E952" s="63"/>
      <c r="F952" s="63"/>
      <c r="G952" s="63"/>
      <c r="H952" s="63"/>
      <c r="I952" s="63"/>
      <c r="J952" s="63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>
      <c r="A953" s="62"/>
      <c r="B953" s="63"/>
      <c r="C953" s="63"/>
      <c r="D953" s="63"/>
      <c r="E953" s="63"/>
      <c r="F953" s="63"/>
      <c r="G953" s="63"/>
      <c r="H953" s="63"/>
      <c r="I953" s="63"/>
      <c r="J953" s="63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>
      <c r="A954" s="62"/>
      <c r="B954" s="63"/>
      <c r="C954" s="63"/>
      <c r="D954" s="63"/>
      <c r="E954" s="63"/>
      <c r="F954" s="63"/>
      <c r="G954" s="63"/>
      <c r="H954" s="63"/>
      <c r="I954" s="63"/>
      <c r="J954" s="63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>
      <c r="A955" s="62"/>
      <c r="B955" s="63"/>
      <c r="C955" s="63"/>
      <c r="D955" s="63"/>
      <c r="E955" s="63"/>
      <c r="F955" s="63"/>
      <c r="G955" s="63"/>
      <c r="H955" s="63"/>
      <c r="I955" s="63"/>
      <c r="J955" s="63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>
      <c r="A956" s="62"/>
      <c r="B956" s="63"/>
      <c r="C956" s="63"/>
      <c r="D956" s="63"/>
      <c r="E956" s="63"/>
      <c r="F956" s="63"/>
      <c r="G956" s="63"/>
      <c r="H956" s="63"/>
      <c r="I956" s="63"/>
      <c r="J956" s="63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>
      <c r="A957" s="62"/>
      <c r="B957" s="63"/>
      <c r="C957" s="63"/>
      <c r="D957" s="63"/>
      <c r="E957" s="63"/>
      <c r="F957" s="63"/>
      <c r="G957" s="63"/>
      <c r="H957" s="63"/>
      <c r="I957" s="63"/>
      <c r="J957" s="63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>
      <c r="A958" s="62"/>
      <c r="B958" s="63"/>
      <c r="C958" s="63"/>
      <c r="D958" s="63"/>
      <c r="E958" s="63"/>
      <c r="F958" s="63"/>
      <c r="G958" s="63"/>
      <c r="H958" s="63"/>
      <c r="I958" s="63"/>
      <c r="J958" s="63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>
      <c r="A959" s="62"/>
      <c r="B959" s="63"/>
      <c r="C959" s="63"/>
      <c r="D959" s="63"/>
      <c r="E959" s="63"/>
      <c r="F959" s="63"/>
      <c r="G959" s="63"/>
      <c r="H959" s="63"/>
      <c r="I959" s="63"/>
      <c r="J959" s="63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>
      <c r="A960" s="62"/>
      <c r="B960" s="63"/>
      <c r="C960" s="63"/>
      <c r="D960" s="63"/>
      <c r="E960" s="63"/>
      <c r="F960" s="63"/>
      <c r="G960" s="63"/>
      <c r="H960" s="63"/>
      <c r="I960" s="63"/>
      <c r="J960" s="63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>
      <c r="A961" s="62"/>
      <c r="B961" s="63"/>
      <c r="C961" s="63"/>
      <c r="D961" s="63"/>
      <c r="E961" s="63"/>
      <c r="F961" s="63"/>
      <c r="G961" s="63"/>
      <c r="H961" s="63"/>
      <c r="I961" s="63"/>
      <c r="J961" s="63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>
      <c r="A962" s="62"/>
      <c r="B962" s="63"/>
      <c r="C962" s="63"/>
      <c r="D962" s="63"/>
      <c r="E962" s="63"/>
      <c r="F962" s="63"/>
      <c r="G962" s="63"/>
      <c r="H962" s="63"/>
      <c r="I962" s="63"/>
      <c r="J962" s="63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>
      <c r="A963" s="62"/>
      <c r="B963" s="63"/>
      <c r="C963" s="63"/>
      <c r="D963" s="63"/>
      <c r="E963" s="63"/>
      <c r="F963" s="63"/>
      <c r="G963" s="63"/>
      <c r="H963" s="63"/>
      <c r="I963" s="63"/>
      <c r="J963" s="63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>
      <c r="A964" s="62"/>
      <c r="B964" s="63"/>
      <c r="C964" s="63"/>
      <c r="D964" s="63"/>
      <c r="E964" s="63"/>
      <c r="F964" s="63"/>
      <c r="G964" s="63"/>
      <c r="H964" s="63"/>
      <c r="I964" s="63"/>
      <c r="J964" s="63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>
      <c r="A965" s="62"/>
      <c r="B965" s="63"/>
      <c r="C965" s="63"/>
      <c r="D965" s="63"/>
      <c r="E965" s="63"/>
      <c r="F965" s="63"/>
      <c r="G965" s="63"/>
      <c r="H965" s="63"/>
      <c r="I965" s="63"/>
      <c r="J965" s="63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>
      <c r="A966" s="62"/>
      <c r="B966" s="63"/>
      <c r="C966" s="63"/>
      <c r="D966" s="63"/>
      <c r="E966" s="63"/>
      <c r="F966" s="63"/>
      <c r="G966" s="63"/>
      <c r="H966" s="63"/>
      <c r="I966" s="63"/>
      <c r="J966" s="63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>
      <c r="A967" s="62"/>
      <c r="B967" s="63"/>
      <c r="C967" s="63"/>
      <c r="D967" s="63"/>
      <c r="E967" s="63"/>
      <c r="F967" s="63"/>
      <c r="G967" s="63"/>
      <c r="H967" s="63"/>
      <c r="I967" s="63"/>
      <c r="J967" s="63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>
      <c r="A968" s="62"/>
      <c r="B968" s="63"/>
      <c r="C968" s="63"/>
      <c r="D968" s="63"/>
      <c r="E968" s="63"/>
      <c r="F968" s="63"/>
      <c r="G968" s="63"/>
      <c r="H968" s="63"/>
      <c r="I968" s="63"/>
      <c r="J968" s="63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>
      <c r="A969" s="62"/>
      <c r="B969" s="63"/>
      <c r="C969" s="63"/>
      <c r="D969" s="63"/>
      <c r="E969" s="63"/>
      <c r="F969" s="63"/>
      <c r="G969" s="63"/>
      <c r="H969" s="63"/>
      <c r="I969" s="63"/>
      <c r="J969" s="63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>
      <c r="A970" s="62"/>
      <c r="B970" s="63"/>
      <c r="C970" s="63"/>
      <c r="D970" s="63"/>
      <c r="E970" s="63"/>
      <c r="F970" s="63"/>
      <c r="G970" s="63"/>
      <c r="H970" s="63"/>
      <c r="I970" s="63"/>
      <c r="J970" s="63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>
      <c r="A971" s="62"/>
      <c r="B971" s="63"/>
      <c r="C971" s="63"/>
      <c r="D971" s="63"/>
      <c r="E971" s="63"/>
      <c r="F971" s="63"/>
      <c r="G971" s="63"/>
      <c r="H971" s="63"/>
      <c r="I971" s="63"/>
      <c r="J971" s="63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>
      <c r="A972" s="62"/>
      <c r="B972" s="63"/>
      <c r="C972" s="63"/>
      <c r="D972" s="63"/>
      <c r="E972" s="63"/>
      <c r="F972" s="63"/>
      <c r="G972" s="63"/>
      <c r="H972" s="63"/>
      <c r="I972" s="63"/>
      <c r="J972" s="63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>
      <c r="A973" s="62"/>
      <c r="B973" s="63"/>
      <c r="C973" s="63"/>
      <c r="D973" s="63"/>
      <c r="E973" s="63"/>
      <c r="F973" s="63"/>
      <c r="G973" s="63"/>
      <c r="H973" s="63"/>
      <c r="I973" s="63"/>
      <c r="J973" s="63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>
      <c r="A974" s="62"/>
      <c r="B974" s="63"/>
      <c r="C974" s="63"/>
      <c r="D974" s="63"/>
      <c r="E974" s="63"/>
      <c r="F974" s="63"/>
      <c r="G974" s="63"/>
      <c r="H974" s="63"/>
      <c r="I974" s="63"/>
      <c r="J974" s="63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>
      <c r="A975" s="62"/>
      <c r="B975" s="63"/>
      <c r="C975" s="63"/>
      <c r="D975" s="63"/>
      <c r="E975" s="63"/>
      <c r="F975" s="63"/>
      <c r="G975" s="63"/>
      <c r="H975" s="63"/>
      <c r="I975" s="63"/>
      <c r="J975" s="63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>
      <c r="A976" s="62"/>
      <c r="B976" s="63"/>
      <c r="C976" s="63"/>
      <c r="D976" s="63"/>
      <c r="E976" s="63"/>
      <c r="F976" s="63"/>
      <c r="G976" s="63"/>
      <c r="H976" s="63"/>
      <c r="I976" s="63"/>
      <c r="J976" s="63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>
      <c r="A977" s="62"/>
      <c r="B977" s="63"/>
      <c r="C977" s="63"/>
      <c r="D977" s="63"/>
      <c r="E977" s="63"/>
      <c r="F977" s="63"/>
      <c r="G977" s="63"/>
      <c r="H977" s="63"/>
      <c r="I977" s="63"/>
      <c r="J977" s="63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>
      <c r="A978" s="62"/>
      <c r="B978" s="63"/>
      <c r="C978" s="63"/>
      <c r="D978" s="63"/>
      <c r="E978" s="63"/>
      <c r="F978" s="63"/>
      <c r="G978" s="63"/>
      <c r="H978" s="63"/>
      <c r="I978" s="63"/>
      <c r="J978" s="63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>
      <c r="A979" s="62"/>
      <c r="B979" s="63"/>
      <c r="C979" s="63"/>
      <c r="D979" s="63"/>
      <c r="E979" s="63"/>
      <c r="F979" s="63"/>
      <c r="G979" s="63"/>
      <c r="H979" s="63"/>
      <c r="I979" s="63"/>
      <c r="J979" s="63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>
      <c r="A980" s="62"/>
      <c r="B980" s="63"/>
      <c r="C980" s="63"/>
      <c r="D980" s="63"/>
      <c r="E980" s="63"/>
      <c r="F980" s="63"/>
      <c r="G980" s="63"/>
      <c r="H980" s="63"/>
      <c r="I980" s="63"/>
      <c r="J980" s="63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>
      <c r="A981" s="62"/>
      <c r="B981" s="63"/>
      <c r="C981" s="63"/>
      <c r="D981" s="63"/>
      <c r="E981" s="63"/>
      <c r="F981" s="63"/>
      <c r="G981" s="63"/>
      <c r="H981" s="63"/>
      <c r="I981" s="63"/>
      <c r="J981" s="63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>
      <c r="A982" s="62"/>
      <c r="B982" s="63"/>
      <c r="C982" s="63"/>
      <c r="D982" s="63"/>
      <c r="E982" s="63"/>
      <c r="F982" s="63"/>
      <c r="G982" s="63"/>
      <c r="H982" s="63"/>
      <c r="I982" s="63"/>
      <c r="J982" s="63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>
      <c r="A983" s="62"/>
      <c r="B983" s="63"/>
      <c r="C983" s="63"/>
      <c r="D983" s="63"/>
      <c r="E983" s="63"/>
      <c r="F983" s="63"/>
      <c r="G983" s="63"/>
      <c r="H983" s="63"/>
      <c r="I983" s="63"/>
      <c r="J983" s="63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>
      <c r="A984" s="62"/>
      <c r="B984" s="63"/>
      <c r="C984" s="63"/>
      <c r="D984" s="63"/>
      <c r="E984" s="63"/>
      <c r="F984" s="63"/>
      <c r="G984" s="63"/>
      <c r="H984" s="63"/>
      <c r="I984" s="63"/>
      <c r="J984" s="63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>
      <c r="A985" s="62"/>
      <c r="B985" s="63"/>
      <c r="C985" s="63"/>
      <c r="D985" s="63"/>
      <c r="E985" s="63"/>
      <c r="F985" s="63"/>
      <c r="G985" s="63"/>
      <c r="H985" s="63"/>
      <c r="I985" s="63"/>
      <c r="J985" s="63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>
      <c r="A986" s="62"/>
      <c r="B986" s="63"/>
      <c r="C986" s="63"/>
      <c r="D986" s="63"/>
      <c r="E986" s="63"/>
      <c r="F986" s="63"/>
      <c r="G986" s="63"/>
      <c r="H986" s="63"/>
      <c r="I986" s="63"/>
      <c r="J986" s="63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>
      <c r="A987" s="62"/>
      <c r="B987" s="63"/>
      <c r="C987" s="63"/>
      <c r="D987" s="63"/>
      <c r="E987" s="63"/>
      <c r="F987" s="63"/>
      <c r="G987" s="63"/>
      <c r="H987" s="63"/>
      <c r="I987" s="63"/>
      <c r="J987" s="63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>
      <c r="A988" s="62"/>
      <c r="B988" s="63"/>
      <c r="C988" s="63"/>
      <c r="D988" s="63"/>
      <c r="E988" s="63"/>
      <c r="F988" s="63"/>
      <c r="G988" s="63"/>
      <c r="H988" s="63"/>
      <c r="I988" s="63"/>
      <c r="J988" s="63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>
      <c r="A989" s="62"/>
      <c r="B989" s="63"/>
      <c r="C989" s="63"/>
      <c r="D989" s="63"/>
      <c r="E989" s="63"/>
      <c r="F989" s="63"/>
      <c r="G989" s="63"/>
      <c r="H989" s="63"/>
      <c r="I989" s="63"/>
      <c r="J989" s="63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>
      <c r="A990" s="62"/>
      <c r="B990" s="63"/>
      <c r="C990" s="63"/>
      <c r="D990" s="63"/>
      <c r="E990" s="63"/>
      <c r="F990" s="63"/>
      <c r="G990" s="63"/>
      <c r="H990" s="63"/>
      <c r="I990" s="63"/>
      <c r="J990" s="63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</row>
    <row r="991">
      <c r="A991" s="62"/>
      <c r="B991" s="63"/>
      <c r="C991" s="63"/>
      <c r="D991" s="63"/>
      <c r="E991" s="63"/>
      <c r="F991" s="63"/>
      <c r="G991" s="63"/>
      <c r="H991" s="63"/>
      <c r="I991" s="63"/>
      <c r="J991" s="63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</row>
    <row r="992">
      <c r="A992" s="62"/>
      <c r="B992" s="63"/>
      <c r="C992" s="63"/>
      <c r="D992" s="63"/>
      <c r="E992" s="63"/>
      <c r="F992" s="63"/>
      <c r="G992" s="63"/>
      <c r="H992" s="63"/>
      <c r="I992" s="63"/>
      <c r="J992" s="63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</row>
    <row r="993">
      <c r="A993" s="62"/>
      <c r="B993" s="63"/>
      <c r="C993" s="63"/>
      <c r="D993" s="63"/>
      <c r="E993" s="63"/>
      <c r="F993" s="63"/>
      <c r="G993" s="63"/>
      <c r="H993" s="63"/>
      <c r="I993" s="63"/>
      <c r="J993" s="63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</row>
    <row r="994">
      <c r="A994" s="62"/>
      <c r="B994" s="63"/>
      <c r="C994" s="63"/>
      <c r="D994" s="63"/>
      <c r="E994" s="63"/>
      <c r="F994" s="63"/>
      <c r="G994" s="63"/>
      <c r="H994" s="63"/>
      <c r="I994" s="63"/>
      <c r="J994" s="63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</row>
    <row r="995">
      <c r="A995" s="62"/>
      <c r="B995" s="63"/>
      <c r="C995" s="63"/>
      <c r="D995" s="63"/>
      <c r="E995" s="63"/>
      <c r="F995" s="63"/>
      <c r="G995" s="63"/>
      <c r="H995" s="63"/>
      <c r="I995" s="63"/>
      <c r="J995" s="63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</row>
    <row r="996">
      <c r="A996" s="62"/>
      <c r="B996" s="63"/>
      <c r="C996" s="63"/>
      <c r="D996" s="63"/>
      <c r="E996" s="63"/>
      <c r="F996" s="63"/>
      <c r="G996" s="63"/>
      <c r="H996" s="63"/>
      <c r="I996" s="63"/>
      <c r="J996" s="63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</row>
    <row r="997">
      <c r="A997" s="62"/>
      <c r="B997" s="63"/>
      <c r="C997" s="63"/>
      <c r="D997" s="63"/>
      <c r="E997" s="63"/>
      <c r="F997" s="63"/>
      <c r="G997" s="63"/>
      <c r="H997" s="63"/>
      <c r="I997" s="63"/>
      <c r="J997" s="63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</row>
    <row r="998">
      <c r="A998" s="62"/>
      <c r="B998" s="63"/>
      <c r="C998" s="63"/>
      <c r="D998" s="63"/>
      <c r="E998" s="63"/>
      <c r="F998" s="63"/>
      <c r="G998" s="63"/>
      <c r="H998" s="63"/>
      <c r="I998" s="63"/>
      <c r="J998" s="63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</row>
    <row r="999">
      <c r="A999" s="62"/>
      <c r="B999" s="63"/>
      <c r="C999" s="63"/>
      <c r="D999" s="63"/>
      <c r="E999" s="63"/>
      <c r="F999" s="63"/>
      <c r="G999" s="63"/>
      <c r="H999" s="63"/>
      <c r="I999" s="63"/>
      <c r="J999" s="63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</row>
    <row r="1000">
      <c r="A1000" s="62"/>
      <c r="B1000" s="63"/>
      <c r="C1000" s="63"/>
      <c r="D1000" s="63"/>
      <c r="E1000" s="63"/>
      <c r="F1000" s="63"/>
      <c r="G1000" s="63"/>
      <c r="H1000" s="63"/>
      <c r="I1000" s="63"/>
      <c r="J1000" s="63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</row>
  </sheetData>
  <mergeCells count="13">
    <mergeCell ref="L118:N118"/>
    <mergeCell ref="L133:N133"/>
    <mergeCell ref="L147:M147"/>
    <mergeCell ref="L161:O161"/>
    <mergeCell ref="L175:O175"/>
    <mergeCell ref="L189:P189"/>
    <mergeCell ref="L1:P1"/>
    <mergeCell ref="L11:M11"/>
    <mergeCell ref="L26:N26"/>
    <mergeCell ref="L40:N40"/>
    <mergeCell ref="L60:N60"/>
    <mergeCell ref="L74:M74"/>
    <mergeCell ref="L103:N103"/>
  </mergeCells>
  <conditionalFormatting sqref="L13:X208">
    <cfRule type="cellIs" dxfId="0" priority="1" operator="greaterThan">
      <formula>0.6</formula>
    </cfRule>
  </conditionalFormatting>
  <conditionalFormatting sqref="L13:X208">
    <cfRule type="cellIs" dxfId="1" priority="2" operator="lessThan">
      <formula>-0.6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A16" s="64"/>
      <c r="B16" s="64"/>
      <c r="C16" s="64"/>
      <c r="D16" s="64"/>
      <c r="E16" s="64"/>
      <c r="F16" s="42"/>
      <c r="G16" s="42"/>
      <c r="H16" s="42"/>
      <c r="I16" s="42"/>
      <c r="J16" s="42"/>
      <c r="K16" s="42"/>
      <c r="L16" s="42"/>
      <c r="M16" s="42"/>
    </row>
    <row r="17">
      <c r="A17" s="65" t="s">
        <v>56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>
      <c r="A18" s="66">
        <v>5.6</v>
      </c>
      <c r="B18" s="67">
        <v>2.86</v>
      </c>
      <c r="C18" s="67">
        <v>1.83</v>
      </c>
      <c r="D18" s="67">
        <v>1.16</v>
      </c>
      <c r="E18" s="67">
        <v>0.78</v>
      </c>
      <c r="F18" s="67">
        <v>0.71</v>
      </c>
      <c r="G18" s="68">
        <v>0.57</v>
      </c>
      <c r="H18" s="68">
        <v>0.32</v>
      </c>
      <c r="I18" s="68">
        <v>0.29</v>
      </c>
      <c r="J18" s="68">
        <v>0.26</v>
      </c>
      <c r="K18" s="68">
        <v>0.2</v>
      </c>
      <c r="L18" s="68">
        <v>0.15</v>
      </c>
      <c r="M18" s="68">
        <v>0.11</v>
      </c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</sheetData>
  <conditionalFormatting sqref="A16:M16">
    <cfRule type="cellIs" dxfId="2" priority="1" operator="greaterThanOrEqual">
      <formula>0.6</formula>
    </cfRule>
  </conditionalFormatting>
  <conditionalFormatting sqref="A16:M16">
    <cfRule type="cellIs" dxfId="3" priority="2" operator="lessThanOrEqual">
      <formula>-0.6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30</v>
      </c>
      <c r="E1" s="34"/>
      <c r="F1" s="34"/>
      <c r="G1" s="34"/>
      <c r="H1" s="34"/>
      <c r="I1" s="34"/>
      <c r="J1" s="34"/>
      <c r="K1" s="34"/>
      <c r="L1" s="34"/>
      <c r="O1" s="34"/>
      <c r="P1" s="34"/>
      <c r="Q1" s="34"/>
      <c r="R1" s="34"/>
    </row>
    <row r="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O2" s="34"/>
      <c r="P2" s="34"/>
      <c r="Q2" s="34"/>
      <c r="R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O3" s="34"/>
      <c r="P3" s="34"/>
      <c r="Q3" s="34"/>
      <c r="R3" s="34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O4" s="34"/>
      <c r="P4" s="34"/>
      <c r="Q4" s="34"/>
      <c r="R4" s="34"/>
    </row>
    <row r="5">
      <c r="A5" s="35"/>
      <c r="B5" s="35" t="s">
        <v>19</v>
      </c>
      <c r="C5" s="35" t="s">
        <v>20</v>
      </c>
      <c r="D5" s="35" t="s">
        <v>21</v>
      </c>
      <c r="E5" s="35" t="s">
        <v>22</v>
      </c>
      <c r="F5" s="35" t="s">
        <v>23</v>
      </c>
      <c r="G5" s="35" t="s">
        <v>24</v>
      </c>
      <c r="H5" s="35" t="s">
        <v>25</v>
      </c>
      <c r="I5" s="35" t="s">
        <v>26</v>
      </c>
      <c r="J5" s="35" t="s">
        <v>27</v>
      </c>
      <c r="K5" s="34" t="s">
        <v>28</v>
      </c>
      <c r="L5" s="34"/>
      <c r="O5" s="34"/>
      <c r="P5" s="34"/>
      <c r="Q5" s="34"/>
      <c r="R5" s="34"/>
    </row>
    <row r="6">
      <c r="A6" s="38" t="s">
        <v>31</v>
      </c>
      <c r="B6" s="39">
        <v>0.0</v>
      </c>
      <c r="C6" s="39">
        <v>0.0</v>
      </c>
      <c r="D6" s="39">
        <v>0.0</v>
      </c>
      <c r="E6" s="39">
        <v>0.0</v>
      </c>
      <c r="F6" s="39">
        <v>0.0</v>
      </c>
      <c r="G6" s="39">
        <v>0.0</v>
      </c>
      <c r="H6" s="39">
        <v>-0.01</v>
      </c>
      <c r="I6" s="39">
        <v>-0.01</v>
      </c>
      <c r="J6" s="40">
        <v>-0.01</v>
      </c>
      <c r="K6" s="34">
        <v>-0.01</v>
      </c>
      <c r="L6" s="34"/>
      <c r="O6" s="34"/>
      <c r="P6" s="34"/>
      <c r="Q6" s="34"/>
      <c r="R6" s="34"/>
    </row>
    <row r="7">
      <c r="A7" s="41" t="s">
        <v>32</v>
      </c>
      <c r="B7" s="42">
        <v>1.000848</v>
      </c>
      <c r="C7" s="42">
        <v>1.001834</v>
      </c>
      <c r="D7" s="42">
        <v>1.000114</v>
      </c>
      <c r="E7" s="42">
        <v>1.000346</v>
      </c>
      <c r="F7" s="42">
        <v>0.999492</v>
      </c>
      <c r="G7" s="42">
        <v>1.001194</v>
      </c>
      <c r="H7" s="42">
        <v>1.004388</v>
      </c>
      <c r="I7" s="42">
        <v>1.003687</v>
      </c>
      <c r="J7" s="43">
        <v>1.005067</v>
      </c>
      <c r="K7" s="34">
        <v>1.009087</v>
      </c>
      <c r="L7" s="34"/>
      <c r="O7" s="34"/>
      <c r="P7" s="34"/>
      <c r="Q7" s="34"/>
      <c r="R7" s="34"/>
    </row>
    <row r="8">
      <c r="A8" s="41" t="s">
        <v>33</v>
      </c>
      <c r="B8" s="42">
        <v>0.930839</v>
      </c>
      <c r="C8" s="42">
        <v>0.653915</v>
      </c>
      <c r="D8" s="42">
        <v>1.185467</v>
      </c>
      <c r="E8" s="42">
        <v>1.348701</v>
      </c>
      <c r="F8" s="42">
        <v>1.402458</v>
      </c>
      <c r="G8" s="42">
        <v>0.82489</v>
      </c>
      <c r="H8" s="42">
        <v>0.313066</v>
      </c>
      <c r="I8" s="42">
        <v>-0.17839</v>
      </c>
      <c r="J8" s="43">
        <v>-0.52354</v>
      </c>
      <c r="K8" s="34">
        <v>0.576138</v>
      </c>
      <c r="L8" s="34"/>
      <c r="O8" s="34"/>
      <c r="P8" s="34"/>
      <c r="Q8" s="34"/>
      <c r="R8" s="34"/>
    </row>
    <row r="9">
      <c r="A9" s="44" t="s">
        <v>34</v>
      </c>
      <c r="B9" s="45">
        <v>-0.20659</v>
      </c>
      <c r="C9" s="45">
        <v>-0.56606</v>
      </c>
      <c r="D9" s="45">
        <v>0.041913</v>
      </c>
      <c r="E9" s="45">
        <v>0.260839</v>
      </c>
      <c r="F9" s="45">
        <v>0.337608</v>
      </c>
      <c r="G9" s="45">
        <v>-0.67213</v>
      </c>
      <c r="H9" s="45">
        <v>-0.84803</v>
      </c>
      <c r="I9" s="45">
        <v>-0.9881</v>
      </c>
      <c r="J9" s="46">
        <v>-0.91656</v>
      </c>
      <c r="K9" s="34">
        <v>-0.61989</v>
      </c>
      <c r="L9" s="34"/>
      <c r="O9" s="34"/>
      <c r="P9" s="34"/>
      <c r="Q9" s="34"/>
      <c r="R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O10" s="34"/>
      <c r="P10" s="34"/>
      <c r="Q10" s="34"/>
      <c r="R10" s="34"/>
    </row>
    <row r="11">
      <c r="A11" s="69" t="s">
        <v>35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O11" s="34"/>
      <c r="P11" s="34"/>
      <c r="Q11" s="34"/>
      <c r="R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O12" s="34"/>
      <c r="P12" s="34"/>
      <c r="Q12" s="34"/>
      <c r="R12" s="34"/>
    </row>
    <row r="13">
      <c r="A13" s="35"/>
      <c r="B13" s="35" t="s">
        <v>19</v>
      </c>
      <c r="C13" s="35" t="s">
        <v>20</v>
      </c>
      <c r="D13" s="35" t="s">
        <v>21</v>
      </c>
      <c r="E13" s="35" t="s">
        <v>22</v>
      </c>
      <c r="F13" s="35" t="s">
        <v>23</v>
      </c>
      <c r="G13" s="35" t="s">
        <v>24</v>
      </c>
      <c r="H13" s="35" t="s">
        <v>25</v>
      </c>
      <c r="I13" s="35" t="s">
        <v>26</v>
      </c>
      <c r="J13" s="35" t="s">
        <v>27</v>
      </c>
      <c r="K13" s="34" t="s">
        <v>28</v>
      </c>
      <c r="L13" s="34"/>
      <c r="O13" s="34"/>
      <c r="P13" s="34"/>
      <c r="Q13" s="34"/>
      <c r="R13" s="34"/>
    </row>
    <row r="14">
      <c r="A14" s="38" t="s">
        <v>19</v>
      </c>
      <c r="B14" s="39">
        <v>1.0</v>
      </c>
      <c r="C14" s="39">
        <v>-0.73184</v>
      </c>
      <c r="D14" s="39">
        <v>-0.6284</v>
      </c>
      <c r="E14" s="39">
        <v>-0.16703</v>
      </c>
      <c r="F14" s="39">
        <v>-0.13707</v>
      </c>
      <c r="G14" s="39">
        <v>0.025178</v>
      </c>
      <c r="H14" s="39">
        <v>0.171359</v>
      </c>
      <c r="I14" s="39">
        <v>-0.81614</v>
      </c>
      <c r="J14" s="40">
        <v>-0.85472</v>
      </c>
      <c r="K14" s="34">
        <v>0.753412</v>
      </c>
      <c r="L14" s="34"/>
      <c r="O14" s="34"/>
      <c r="P14" s="34"/>
      <c r="Q14" s="34"/>
      <c r="R14" s="34"/>
    </row>
    <row r="15">
      <c r="A15" s="41" t="s">
        <v>20</v>
      </c>
      <c r="B15" s="42">
        <v>-0.73184</v>
      </c>
      <c r="C15" s="42">
        <v>1.0</v>
      </c>
      <c r="D15" s="42">
        <v>0.834059</v>
      </c>
      <c r="E15" s="42">
        <v>-0.04358</v>
      </c>
      <c r="F15" s="42">
        <v>-0.07766</v>
      </c>
      <c r="G15" s="42">
        <v>-0.28745</v>
      </c>
      <c r="H15" s="42">
        <v>-0.40757</v>
      </c>
      <c r="I15" s="42">
        <v>0.755527</v>
      </c>
      <c r="J15" s="43">
        <v>0.766964</v>
      </c>
      <c r="K15" s="34">
        <v>-0.51799</v>
      </c>
      <c r="L15" s="34"/>
      <c r="O15" s="34"/>
      <c r="P15" s="34"/>
      <c r="Q15" s="34"/>
      <c r="R15" s="34"/>
    </row>
    <row r="16">
      <c r="A16" s="41" t="s">
        <v>21</v>
      </c>
      <c r="B16" s="42">
        <v>-0.6284</v>
      </c>
      <c r="C16" s="42">
        <v>0.834059</v>
      </c>
      <c r="D16" s="42">
        <v>1.0</v>
      </c>
      <c r="E16" s="42">
        <v>-0.08386</v>
      </c>
      <c r="F16" s="42">
        <v>-0.10748</v>
      </c>
      <c r="G16" s="42">
        <v>-0.48242</v>
      </c>
      <c r="H16" s="42">
        <v>-0.58877</v>
      </c>
      <c r="I16" s="42">
        <v>0.671743</v>
      </c>
      <c r="J16" s="43">
        <v>0.68673</v>
      </c>
      <c r="K16" s="34">
        <v>-0.34213</v>
      </c>
      <c r="L16" s="34"/>
      <c r="O16" s="34"/>
      <c r="P16" s="34"/>
      <c r="Q16" s="34"/>
      <c r="R16" s="34"/>
    </row>
    <row r="17">
      <c r="A17" s="41" t="s">
        <v>22</v>
      </c>
      <c r="B17" s="42">
        <v>-0.16703</v>
      </c>
      <c r="C17" s="42">
        <v>-0.04358</v>
      </c>
      <c r="D17" s="42">
        <v>-0.08386</v>
      </c>
      <c r="E17" s="42">
        <v>1.0</v>
      </c>
      <c r="F17" s="42">
        <v>0.937893</v>
      </c>
      <c r="G17" s="42">
        <v>-0.27791</v>
      </c>
      <c r="H17" s="42">
        <v>-0.17654</v>
      </c>
      <c r="I17" s="42">
        <v>0.135918</v>
      </c>
      <c r="J17" s="43">
        <v>0.172308</v>
      </c>
      <c r="K17" s="34">
        <v>-0.19174</v>
      </c>
      <c r="L17" s="34"/>
      <c r="O17" s="34"/>
      <c r="P17" s="34"/>
      <c r="Q17" s="34"/>
      <c r="R17" s="34"/>
    </row>
    <row r="18">
      <c r="A18" s="41" t="s">
        <v>23</v>
      </c>
      <c r="B18" s="42">
        <v>-0.13707</v>
      </c>
      <c r="C18" s="42">
        <v>-0.07766</v>
      </c>
      <c r="D18" s="42">
        <v>-0.10748</v>
      </c>
      <c r="E18" s="42">
        <v>0.937893</v>
      </c>
      <c r="F18" s="42">
        <v>1.0</v>
      </c>
      <c r="G18" s="42">
        <v>-0.30277</v>
      </c>
      <c r="H18" s="42">
        <v>-0.18879</v>
      </c>
      <c r="I18" s="42">
        <v>0.07745</v>
      </c>
      <c r="J18" s="43">
        <v>0.133319</v>
      </c>
      <c r="K18" s="34">
        <v>-0.14299</v>
      </c>
      <c r="L18" s="34"/>
      <c r="O18" s="34"/>
      <c r="P18" s="34"/>
      <c r="Q18" s="34"/>
      <c r="R18" s="34"/>
    </row>
    <row r="19">
      <c r="A19" s="41" t="s">
        <v>24</v>
      </c>
      <c r="B19" s="42">
        <v>0.025178</v>
      </c>
      <c r="C19" s="42">
        <v>-0.28745</v>
      </c>
      <c r="D19" s="42">
        <v>-0.48242</v>
      </c>
      <c r="E19" s="42">
        <v>-0.27791</v>
      </c>
      <c r="F19" s="42">
        <v>-0.30277</v>
      </c>
      <c r="G19" s="42">
        <v>1.0</v>
      </c>
      <c r="H19" s="42">
        <v>0.814048</v>
      </c>
      <c r="I19" s="42">
        <v>-0.05219</v>
      </c>
      <c r="J19" s="43">
        <v>-0.04861</v>
      </c>
      <c r="K19" s="34">
        <v>-0.25945</v>
      </c>
      <c r="L19" s="34"/>
      <c r="O19" s="34"/>
      <c r="P19" s="34"/>
      <c r="Q19" s="34"/>
      <c r="R19" s="34"/>
    </row>
    <row r="20">
      <c r="A20" s="41" t="s">
        <v>25</v>
      </c>
      <c r="B20" s="42">
        <v>0.171359</v>
      </c>
      <c r="C20" s="42">
        <v>-0.40757</v>
      </c>
      <c r="D20" s="42">
        <v>-0.58877</v>
      </c>
      <c r="E20" s="42">
        <v>-0.17654</v>
      </c>
      <c r="F20" s="42">
        <v>-0.18879</v>
      </c>
      <c r="G20" s="42">
        <v>0.814048</v>
      </c>
      <c r="H20" s="42">
        <v>1.0</v>
      </c>
      <c r="I20" s="42">
        <v>-0.19193</v>
      </c>
      <c r="J20" s="43">
        <v>-0.22221</v>
      </c>
      <c r="K20" s="34">
        <v>-0.09405</v>
      </c>
      <c r="L20" s="34"/>
      <c r="O20" s="34"/>
      <c r="P20" s="34"/>
      <c r="Q20" s="34"/>
      <c r="R20" s="34"/>
    </row>
    <row r="21">
      <c r="A21" s="41" t="s">
        <v>26</v>
      </c>
      <c r="B21" s="42">
        <v>-0.81614</v>
      </c>
      <c r="C21" s="42">
        <v>0.755527</v>
      </c>
      <c r="D21" s="42">
        <v>0.671743</v>
      </c>
      <c r="E21" s="42">
        <v>0.135918</v>
      </c>
      <c r="F21" s="42">
        <v>0.07745</v>
      </c>
      <c r="G21" s="42">
        <v>-0.05219</v>
      </c>
      <c r="H21" s="42">
        <v>-0.19193</v>
      </c>
      <c r="I21" s="42">
        <v>1.0</v>
      </c>
      <c r="J21" s="43">
        <v>0.842323</v>
      </c>
      <c r="K21" s="34">
        <v>-0.68481</v>
      </c>
      <c r="L21" s="34"/>
      <c r="O21" s="34"/>
      <c r="P21" s="34"/>
      <c r="Q21" s="34"/>
      <c r="R21" s="34"/>
    </row>
    <row r="22">
      <c r="A22" s="41" t="s">
        <v>27</v>
      </c>
      <c r="B22" s="42">
        <v>-0.85472</v>
      </c>
      <c r="C22" s="42">
        <v>0.766964</v>
      </c>
      <c r="D22" s="42">
        <v>0.68673</v>
      </c>
      <c r="E22" s="42">
        <v>0.172308</v>
      </c>
      <c r="F22" s="42">
        <v>0.133319</v>
      </c>
      <c r="G22" s="42">
        <v>-0.04861</v>
      </c>
      <c r="H22" s="42">
        <v>-0.22221</v>
      </c>
      <c r="I22" s="42">
        <v>0.842323</v>
      </c>
      <c r="J22" s="43">
        <v>1.0</v>
      </c>
      <c r="K22" s="34">
        <v>-0.70436</v>
      </c>
      <c r="L22" s="34"/>
      <c r="O22" s="34"/>
      <c r="P22" s="34"/>
      <c r="Q22" s="34"/>
      <c r="R22" s="34"/>
    </row>
    <row r="23">
      <c r="A23" s="44" t="s">
        <v>28</v>
      </c>
      <c r="B23" s="45">
        <v>0.753412</v>
      </c>
      <c r="C23" s="45">
        <v>-0.51799</v>
      </c>
      <c r="D23" s="45">
        <v>-0.34213</v>
      </c>
      <c r="E23" s="45">
        <v>-0.19174</v>
      </c>
      <c r="F23" s="45">
        <v>-0.14299</v>
      </c>
      <c r="G23" s="45">
        <v>-0.25945</v>
      </c>
      <c r="H23" s="45">
        <v>-0.09405</v>
      </c>
      <c r="I23" s="45">
        <v>-0.68481</v>
      </c>
      <c r="J23" s="46">
        <v>-0.70436</v>
      </c>
      <c r="K23" s="34">
        <v>1.0</v>
      </c>
      <c r="L23" s="34"/>
      <c r="O23" s="34"/>
      <c r="P23" s="34"/>
      <c r="Q23" s="34"/>
      <c r="R23" s="34"/>
    </row>
    <row r="24">
      <c r="A24" s="42"/>
      <c r="B24" s="42">
        <v>2.971429</v>
      </c>
      <c r="C24" s="42">
        <v>2.915283</v>
      </c>
      <c r="D24" s="42">
        <v>2.728399</v>
      </c>
      <c r="E24" s="42">
        <v>1.109807</v>
      </c>
      <c r="F24" s="42">
        <v>1.087542</v>
      </c>
      <c r="G24" s="42">
        <v>1.219977</v>
      </c>
      <c r="H24" s="42">
        <v>1.366672</v>
      </c>
      <c r="I24" s="42">
        <v>2.930653</v>
      </c>
      <c r="J24" s="42">
        <v>3.09522</v>
      </c>
      <c r="K24" s="42">
        <v>2.051455</v>
      </c>
      <c r="L24" s="34">
        <v>21.47644</v>
      </c>
      <c r="O24" s="34"/>
      <c r="P24" s="34"/>
      <c r="Q24" s="34"/>
      <c r="R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O25" s="34"/>
      <c r="P25" s="34"/>
      <c r="Q25" s="34"/>
      <c r="R25" s="34"/>
    </row>
    <row r="26">
      <c r="A26" s="69" t="s">
        <v>36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O26" s="34"/>
      <c r="P26" s="34"/>
      <c r="Q26" s="34"/>
      <c r="R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O27" s="34"/>
      <c r="P27" s="34"/>
      <c r="Q27" s="34"/>
      <c r="R27" s="34"/>
    </row>
    <row r="28">
      <c r="A28" s="35"/>
      <c r="B28" s="35" t="s">
        <v>19</v>
      </c>
      <c r="C28" s="35" t="s">
        <v>20</v>
      </c>
      <c r="D28" s="35" t="s">
        <v>21</v>
      </c>
      <c r="E28" s="35" t="s">
        <v>22</v>
      </c>
      <c r="F28" s="35" t="s">
        <v>23</v>
      </c>
      <c r="G28" s="35" t="s">
        <v>24</v>
      </c>
      <c r="H28" s="35" t="s">
        <v>25</v>
      </c>
      <c r="I28" s="35" t="s">
        <v>26</v>
      </c>
      <c r="J28" s="35" t="s">
        <v>27</v>
      </c>
      <c r="K28" s="34" t="s">
        <v>28</v>
      </c>
      <c r="L28" s="35"/>
      <c r="M28" s="69" t="s">
        <v>37</v>
      </c>
      <c r="O28" s="34"/>
      <c r="P28" s="34"/>
      <c r="Q28" s="34"/>
      <c r="R28" s="34"/>
    </row>
    <row r="29">
      <c r="A29" s="38" t="s">
        <v>19</v>
      </c>
      <c r="B29" s="39">
        <v>5.167917</v>
      </c>
      <c r="C29" s="39">
        <v>0.65898</v>
      </c>
      <c r="D29" s="39">
        <v>0.557297</v>
      </c>
      <c r="E29" s="39">
        <v>-0.45017</v>
      </c>
      <c r="F29" s="39">
        <v>0.784065</v>
      </c>
      <c r="G29" s="39">
        <v>0.08774</v>
      </c>
      <c r="H29" s="39">
        <v>0.138122</v>
      </c>
      <c r="I29" s="39">
        <v>0.916006</v>
      </c>
      <c r="J29" s="40">
        <v>1.752174</v>
      </c>
      <c r="K29" s="34">
        <v>-1.43856</v>
      </c>
      <c r="L29" s="47"/>
      <c r="M29" s="69">
        <v>2.273305</v>
      </c>
      <c r="O29" s="34"/>
      <c r="P29" s="34"/>
      <c r="Q29" s="34"/>
      <c r="R29" s="34"/>
    </row>
    <row r="30">
      <c r="A30" s="41" t="s">
        <v>20</v>
      </c>
      <c r="B30" s="42">
        <v>0.65898</v>
      </c>
      <c r="C30" s="42">
        <v>4.935466</v>
      </c>
      <c r="D30" s="42">
        <v>-1.84695</v>
      </c>
      <c r="E30" s="42">
        <v>0.287597</v>
      </c>
      <c r="F30" s="42">
        <v>0.516007</v>
      </c>
      <c r="G30" s="42">
        <v>0.818639</v>
      </c>
      <c r="H30" s="42">
        <v>-0.0364</v>
      </c>
      <c r="I30" s="42">
        <v>-0.7862</v>
      </c>
      <c r="J30" s="43">
        <v>-1.01898</v>
      </c>
      <c r="K30" s="34">
        <v>0.509907</v>
      </c>
      <c r="L30" s="48"/>
      <c r="M30" s="69">
        <v>2.221591</v>
      </c>
      <c r="O30" s="34"/>
      <c r="P30" s="34"/>
      <c r="Q30" s="34"/>
      <c r="R30" s="34"/>
    </row>
    <row r="31">
      <c r="A31" s="41" t="s">
        <v>21</v>
      </c>
      <c r="B31" s="42">
        <v>0.557297</v>
      </c>
      <c r="C31" s="42">
        <v>-1.84695</v>
      </c>
      <c r="D31" s="42">
        <v>6.617387</v>
      </c>
      <c r="E31" s="42">
        <v>0.776706</v>
      </c>
      <c r="F31" s="42">
        <v>1.077001</v>
      </c>
      <c r="G31" s="42">
        <v>2.240561</v>
      </c>
      <c r="H31" s="42">
        <v>0.943154</v>
      </c>
      <c r="I31" s="42">
        <v>-1.03411</v>
      </c>
      <c r="J31" s="43">
        <v>-1.84134</v>
      </c>
      <c r="K31" s="34">
        <v>-0.14478</v>
      </c>
      <c r="L31" s="48"/>
      <c r="M31" s="69">
        <v>2.572428</v>
      </c>
      <c r="O31" s="34"/>
      <c r="P31" s="34"/>
      <c r="Q31" s="34"/>
      <c r="R31" s="34"/>
    </row>
    <row r="32">
      <c r="A32" s="41" t="s">
        <v>22</v>
      </c>
      <c r="B32" s="42">
        <v>-0.45017</v>
      </c>
      <c r="C32" s="42">
        <v>0.287597</v>
      </c>
      <c r="D32" s="42">
        <v>0.776706</v>
      </c>
      <c r="E32" s="42">
        <v>8.879846</v>
      </c>
      <c r="F32" s="42">
        <v>-7.89081</v>
      </c>
      <c r="G32" s="42">
        <v>0.612105</v>
      </c>
      <c r="H32" s="42">
        <v>0.016347</v>
      </c>
      <c r="I32" s="42">
        <v>-0.96977</v>
      </c>
      <c r="J32" s="43">
        <v>-0.36886</v>
      </c>
      <c r="K32" s="34">
        <v>0.564631</v>
      </c>
      <c r="L32" s="48"/>
      <c r="M32" s="69">
        <v>2.979907</v>
      </c>
      <c r="O32" s="34"/>
      <c r="P32" s="34"/>
      <c r="Q32" s="34"/>
      <c r="R32" s="34"/>
    </row>
    <row r="33">
      <c r="A33" s="41" t="s">
        <v>23</v>
      </c>
      <c r="B33" s="42">
        <v>0.784065</v>
      </c>
      <c r="C33" s="42">
        <v>0.516007</v>
      </c>
      <c r="D33" s="42">
        <v>1.077001</v>
      </c>
      <c r="E33" s="42">
        <v>-7.89081</v>
      </c>
      <c r="F33" s="42">
        <v>9.089546</v>
      </c>
      <c r="G33" s="42">
        <v>1.211834</v>
      </c>
      <c r="H33" s="42">
        <v>0.002886</v>
      </c>
      <c r="I33" s="42">
        <v>0.619547</v>
      </c>
      <c r="J33" s="43">
        <v>-0.74961</v>
      </c>
      <c r="K33" s="34">
        <v>0.042703</v>
      </c>
      <c r="L33" s="48"/>
      <c r="M33" s="69">
        <v>3.014887</v>
      </c>
      <c r="O33" s="34"/>
      <c r="P33" s="34"/>
      <c r="Q33" s="34"/>
      <c r="R33" s="34"/>
    </row>
    <row r="34">
      <c r="A34" s="41" t="s">
        <v>24</v>
      </c>
      <c r="B34" s="42">
        <v>0.08774</v>
      </c>
      <c r="C34" s="42">
        <v>0.818639</v>
      </c>
      <c r="D34" s="42">
        <v>2.240561</v>
      </c>
      <c r="E34" s="42">
        <v>0.612105</v>
      </c>
      <c r="F34" s="42">
        <v>1.211834</v>
      </c>
      <c r="G34" s="42">
        <v>5.035805</v>
      </c>
      <c r="H34" s="42">
        <v>-2.41722</v>
      </c>
      <c r="I34" s="42">
        <v>-0.30419</v>
      </c>
      <c r="J34" s="43">
        <v>-1.5569</v>
      </c>
      <c r="K34" s="34">
        <v>1.189429</v>
      </c>
      <c r="L34" s="48"/>
      <c r="M34" s="69">
        <v>2.24406</v>
      </c>
      <c r="O34" s="34"/>
      <c r="P34" s="34"/>
      <c r="Q34" s="34"/>
      <c r="R34" s="34"/>
    </row>
    <row r="35">
      <c r="A35" s="41" t="s">
        <v>25</v>
      </c>
      <c r="B35" s="42">
        <v>0.138122</v>
      </c>
      <c r="C35" s="42">
        <v>-0.0364</v>
      </c>
      <c r="D35" s="42">
        <v>0.943154</v>
      </c>
      <c r="E35" s="42">
        <v>0.016347</v>
      </c>
      <c r="F35" s="42">
        <v>0.002886</v>
      </c>
      <c r="G35" s="42">
        <v>-2.41722</v>
      </c>
      <c r="H35" s="42">
        <v>3.51887</v>
      </c>
      <c r="I35" s="42">
        <v>-0.28256</v>
      </c>
      <c r="J35" s="43">
        <v>0.388541</v>
      </c>
      <c r="K35" s="34">
        <v>-0.01273</v>
      </c>
      <c r="L35" s="48"/>
      <c r="M35" s="69">
        <v>1.875865</v>
      </c>
      <c r="O35" s="34"/>
      <c r="P35" s="34"/>
      <c r="Q35" s="34"/>
      <c r="R35" s="34"/>
    </row>
    <row r="36">
      <c r="A36" s="41" t="s">
        <v>26</v>
      </c>
      <c r="B36" s="42">
        <v>0.916006</v>
      </c>
      <c r="C36" s="42">
        <v>-0.7862</v>
      </c>
      <c r="D36" s="42">
        <v>-1.03411</v>
      </c>
      <c r="E36" s="42">
        <v>-0.96977</v>
      </c>
      <c r="F36" s="42">
        <v>0.619547</v>
      </c>
      <c r="G36" s="42">
        <v>-0.30419</v>
      </c>
      <c r="H36" s="42">
        <v>-0.28256</v>
      </c>
      <c r="I36" s="42">
        <v>4.55387</v>
      </c>
      <c r="J36" s="43">
        <v>-1.39174</v>
      </c>
      <c r="K36" s="34">
        <v>0.484246</v>
      </c>
      <c r="L36" s="48"/>
      <c r="M36" s="69">
        <v>2.13398</v>
      </c>
      <c r="O36" s="34"/>
      <c r="P36" s="34"/>
      <c r="Q36" s="34"/>
      <c r="R36" s="34"/>
    </row>
    <row r="37">
      <c r="A37" s="41" t="s">
        <v>27</v>
      </c>
      <c r="B37" s="42">
        <v>1.752174</v>
      </c>
      <c r="C37" s="42">
        <v>-1.01898</v>
      </c>
      <c r="D37" s="42">
        <v>-1.84134</v>
      </c>
      <c r="E37" s="42">
        <v>-0.36886</v>
      </c>
      <c r="F37" s="42">
        <v>-0.74961</v>
      </c>
      <c r="G37" s="42">
        <v>-1.5569</v>
      </c>
      <c r="H37" s="42">
        <v>0.388541</v>
      </c>
      <c r="I37" s="42">
        <v>-1.39174</v>
      </c>
      <c r="J37" s="43">
        <v>6.131176</v>
      </c>
      <c r="K37" s="34">
        <v>0.342267</v>
      </c>
      <c r="L37" s="48"/>
      <c r="M37" s="69">
        <v>2.476121</v>
      </c>
      <c r="O37" s="34"/>
      <c r="P37" s="34"/>
      <c r="Q37" s="34"/>
      <c r="R37" s="34"/>
    </row>
    <row r="38">
      <c r="A38" s="44" t="s">
        <v>28</v>
      </c>
      <c r="B38" s="45">
        <v>-1.43856</v>
      </c>
      <c r="C38" s="45">
        <v>0.509907</v>
      </c>
      <c r="D38" s="45">
        <v>-0.14478</v>
      </c>
      <c r="E38" s="45">
        <v>0.564631</v>
      </c>
      <c r="F38" s="45">
        <v>0.042703</v>
      </c>
      <c r="G38" s="45">
        <v>1.189429</v>
      </c>
      <c r="H38" s="45">
        <v>-0.01273</v>
      </c>
      <c r="I38" s="45">
        <v>0.484246</v>
      </c>
      <c r="J38" s="46">
        <v>0.342267</v>
      </c>
      <c r="K38" s="34">
        <v>3.29289</v>
      </c>
      <c r="L38" s="49"/>
      <c r="M38" s="69">
        <v>1.814632</v>
      </c>
      <c r="O38" s="34"/>
      <c r="P38" s="34"/>
      <c r="Q38" s="34"/>
      <c r="R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O39" s="34"/>
      <c r="P39" s="34"/>
      <c r="Q39" s="34"/>
      <c r="R39" s="34"/>
    </row>
    <row r="40">
      <c r="A40" s="69" t="s">
        <v>38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O40" s="34"/>
      <c r="P40" s="34"/>
      <c r="Q40" s="34"/>
      <c r="R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O41" s="34"/>
      <c r="P41" s="34"/>
      <c r="Q41" s="34"/>
      <c r="R41" s="34"/>
    </row>
    <row r="42">
      <c r="A42" s="35"/>
      <c r="B42" s="35" t="s">
        <v>19</v>
      </c>
      <c r="C42" s="35" t="s">
        <v>20</v>
      </c>
      <c r="D42" s="35" t="s">
        <v>21</v>
      </c>
      <c r="E42" s="35" t="s">
        <v>22</v>
      </c>
      <c r="F42" s="35" t="s">
        <v>23</v>
      </c>
      <c r="G42" s="35" t="s">
        <v>24</v>
      </c>
      <c r="H42" s="35" t="s">
        <v>25</v>
      </c>
      <c r="I42" s="35" t="s">
        <v>26</v>
      </c>
      <c r="J42" s="35" t="s">
        <v>27</v>
      </c>
      <c r="K42" s="34" t="s">
        <v>28</v>
      </c>
      <c r="L42" s="34"/>
      <c r="O42" s="34"/>
      <c r="P42" s="34"/>
      <c r="Q42" s="34"/>
      <c r="R42" s="34"/>
    </row>
    <row r="43">
      <c r="A43" s="38" t="s">
        <v>19</v>
      </c>
      <c r="B43" s="39">
        <v>1.0</v>
      </c>
      <c r="C43" s="39">
        <v>-0.13048</v>
      </c>
      <c r="D43" s="39">
        <v>-0.0953</v>
      </c>
      <c r="E43" s="39">
        <v>0.066453</v>
      </c>
      <c r="F43" s="39">
        <v>-0.1144</v>
      </c>
      <c r="G43" s="39">
        <v>-0.0172</v>
      </c>
      <c r="H43" s="39">
        <v>-0.03239</v>
      </c>
      <c r="I43" s="39">
        <v>-0.18882</v>
      </c>
      <c r="J43" s="40">
        <v>-0.31128</v>
      </c>
      <c r="K43" s="34">
        <v>0.348723</v>
      </c>
      <c r="L43" s="34"/>
      <c r="O43" s="34"/>
      <c r="P43" s="34"/>
      <c r="Q43" s="34"/>
      <c r="R43" s="34"/>
    </row>
    <row r="44">
      <c r="A44" s="41" t="s">
        <v>20</v>
      </c>
      <c r="B44" s="42">
        <v>-0.13048</v>
      </c>
      <c r="C44" s="42">
        <v>1.0</v>
      </c>
      <c r="D44" s="42">
        <v>0.323183</v>
      </c>
      <c r="E44" s="42">
        <v>-0.04344</v>
      </c>
      <c r="F44" s="42">
        <v>-0.07704</v>
      </c>
      <c r="G44" s="42">
        <v>-0.16421</v>
      </c>
      <c r="H44" s="42">
        <v>0.008734</v>
      </c>
      <c r="I44" s="42">
        <v>0.165836</v>
      </c>
      <c r="J44" s="43">
        <v>0.185237</v>
      </c>
      <c r="K44" s="34">
        <v>-0.12648</v>
      </c>
      <c r="L44" s="34"/>
      <c r="O44" s="34"/>
      <c r="P44" s="34"/>
      <c r="Q44" s="34"/>
      <c r="R44" s="34"/>
    </row>
    <row r="45">
      <c r="A45" s="41" t="s">
        <v>21</v>
      </c>
      <c r="B45" s="42">
        <v>-0.0953</v>
      </c>
      <c r="C45" s="42">
        <v>0.323183</v>
      </c>
      <c r="D45" s="42">
        <v>1.0</v>
      </c>
      <c r="E45" s="42">
        <v>-0.10132</v>
      </c>
      <c r="F45" s="42">
        <v>-0.13887</v>
      </c>
      <c r="G45" s="42">
        <v>-0.38813</v>
      </c>
      <c r="H45" s="42">
        <v>-0.19545</v>
      </c>
      <c r="I45" s="42">
        <v>0.188379</v>
      </c>
      <c r="J45" s="43">
        <v>0.28908</v>
      </c>
      <c r="K45" s="34">
        <v>0.031016</v>
      </c>
      <c r="L45" s="34"/>
      <c r="O45" s="34"/>
      <c r="P45" s="34"/>
      <c r="Q45" s="34"/>
      <c r="R45" s="34"/>
    </row>
    <row r="46">
      <c r="A46" s="41" t="s">
        <v>22</v>
      </c>
      <c r="B46" s="42">
        <v>0.066453</v>
      </c>
      <c r="C46" s="42">
        <v>-0.04344</v>
      </c>
      <c r="D46" s="42">
        <v>-0.10132</v>
      </c>
      <c r="E46" s="42">
        <v>1.0</v>
      </c>
      <c r="F46" s="42">
        <v>0.87831</v>
      </c>
      <c r="G46" s="42">
        <v>-0.09154</v>
      </c>
      <c r="H46" s="42">
        <v>-0.00292</v>
      </c>
      <c r="I46" s="42">
        <v>0.152502</v>
      </c>
      <c r="J46" s="43">
        <v>0.04999</v>
      </c>
      <c r="K46" s="34">
        <v>-0.10442</v>
      </c>
      <c r="L46" s="34"/>
      <c r="O46" s="34"/>
      <c r="P46" s="34"/>
      <c r="Q46" s="34"/>
      <c r="R46" s="34"/>
    </row>
    <row r="47">
      <c r="A47" s="41" t="s">
        <v>23</v>
      </c>
      <c r="B47" s="42">
        <v>-0.1144</v>
      </c>
      <c r="C47" s="42">
        <v>-0.07704</v>
      </c>
      <c r="D47" s="42">
        <v>-0.13887</v>
      </c>
      <c r="E47" s="42">
        <v>0.87831</v>
      </c>
      <c r="F47" s="42">
        <v>1.0</v>
      </c>
      <c r="G47" s="42">
        <v>-0.17912</v>
      </c>
      <c r="H47" s="42">
        <v>-5.1E-4</v>
      </c>
      <c r="I47" s="42">
        <v>-0.0963</v>
      </c>
      <c r="J47" s="43">
        <v>0.100413</v>
      </c>
      <c r="K47" s="34">
        <v>-0.00781</v>
      </c>
      <c r="L47" s="34"/>
      <c r="O47" s="34"/>
      <c r="P47" s="34"/>
      <c r="Q47" s="34"/>
      <c r="R47" s="34"/>
    </row>
    <row r="48">
      <c r="A48" s="41" t="s">
        <v>24</v>
      </c>
      <c r="B48" s="42">
        <v>-0.0172</v>
      </c>
      <c r="C48" s="42">
        <v>-0.16421</v>
      </c>
      <c r="D48" s="42">
        <v>-0.38813</v>
      </c>
      <c r="E48" s="42">
        <v>-0.09154</v>
      </c>
      <c r="F48" s="42">
        <v>-0.17912</v>
      </c>
      <c r="G48" s="42">
        <v>1.0</v>
      </c>
      <c r="H48" s="42">
        <v>0.574222</v>
      </c>
      <c r="I48" s="42">
        <v>0.063522</v>
      </c>
      <c r="J48" s="43">
        <v>0.28019</v>
      </c>
      <c r="K48" s="34">
        <v>-0.29209</v>
      </c>
      <c r="L48" s="34"/>
      <c r="O48" s="34"/>
      <c r="P48" s="34"/>
      <c r="Q48" s="34"/>
      <c r="R48" s="34"/>
    </row>
    <row r="49">
      <c r="A49" s="41" t="s">
        <v>25</v>
      </c>
      <c r="B49" s="42">
        <v>-0.03239</v>
      </c>
      <c r="C49" s="42">
        <v>0.008734</v>
      </c>
      <c r="D49" s="42">
        <v>-0.19545</v>
      </c>
      <c r="E49" s="42">
        <v>-0.00292</v>
      </c>
      <c r="F49" s="42">
        <v>-5.1E-4</v>
      </c>
      <c r="G49" s="42">
        <v>0.574222</v>
      </c>
      <c r="H49" s="42">
        <v>1.0</v>
      </c>
      <c r="I49" s="42">
        <v>0.070585</v>
      </c>
      <c r="J49" s="43">
        <v>-0.08365</v>
      </c>
      <c r="K49" s="34">
        <v>0.003741</v>
      </c>
      <c r="L49" s="34"/>
      <c r="O49" s="34"/>
      <c r="P49" s="34"/>
      <c r="Q49" s="34"/>
      <c r="R49" s="34"/>
    </row>
    <row r="50">
      <c r="A50" s="41" t="s">
        <v>26</v>
      </c>
      <c r="B50" s="42">
        <v>-0.18882</v>
      </c>
      <c r="C50" s="42">
        <v>0.165836</v>
      </c>
      <c r="D50" s="42">
        <v>0.188379</v>
      </c>
      <c r="E50" s="42">
        <v>0.152502</v>
      </c>
      <c r="F50" s="42">
        <v>-0.0963</v>
      </c>
      <c r="G50" s="42">
        <v>0.063522</v>
      </c>
      <c r="H50" s="42">
        <v>0.070585</v>
      </c>
      <c r="I50" s="42">
        <v>1.0</v>
      </c>
      <c r="J50" s="43">
        <v>0.263389</v>
      </c>
      <c r="K50" s="34">
        <v>-0.12505</v>
      </c>
      <c r="L50" s="34"/>
      <c r="O50" s="34"/>
      <c r="P50" s="34"/>
      <c r="Q50" s="34"/>
      <c r="R50" s="34"/>
    </row>
    <row r="51">
      <c r="A51" s="41" t="s">
        <v>27</v>
      </c>
      <c r="B51" s="42">
        <v>-0.31128</v>
      </c>
      <c r="C51" s="42">
        <v>0.185237</v>
      </c>
      <c r="D51" s="42">
        <v>0.28908</v>
      </c>
      <c r="E51" s="42">
        <v>0.04999</v>
      </c>
      <c r="F51" s="42">
        <v>0.100413</v>
      </c>
      <c r="G51" s="42">
        <v>0.28019</v>
      </c>
      <c r="H51" s="42">
        <v>-0.08365</v>
      </c>
      <c r="I51" s="42">
        <v>0.263389</v>
      </c>
      <c r="J51" s="43">
        <v>1.0</v>
      </c>
      <c r="K51" s="34">
        <v>-0.07617</v>
      </c>
      <c r="L51" s="34"/>
      <c r="O51" s="34"/>
      <c r="P51" s="34"/>
      <c r="Q51" s="34"/>
      <c r="R51" s="34"/>
    </row>
    <row r="52">
      <c r="A52" s="44" t="s">
        <v>28</v>
      </c>
      <c r="B52" s="45">
        <v>0.348723</v>
      </c>
      <c r="C52" s="45">
        <v>-0.12648</v>
      </c>
      <c r="D52" s="45">
        <v>0.031016</v>
      </c>
      <c r="E52" s="45">
        <v>-0.10442</v>
      </c>
      <c r="F52" s="45">
        <v>-0.00781</v>
      </c>
      <c r="G52" s="45">
        <v>-0.29209</v>
      </c>
      <c r="H52" s="45">
        <v>0.003741</v>
      </c>
      <c r="I52" s="45">
        <v>-0.12505</v>
      </c>
      <c r="J52" s="46">
        <v>-0.07617</v>
      </c>
      <c r="K52" s="34">
        <v>1.0</v>
      </c>
      <c r="L52" s="34"/>
      <c r="O52" s="34"/>
      <c r="P52" s="34"/>
      <c r="Q52" s="34"/>
      <c r="R52" s="34"/>
    </row>
    <row r="53">
      <c r="A53" s="42"/>
      <c r="B53" s="42">
        <v>0.29911</v>
      </c>
      <c r="C53" s="42">
        <v>0.234148</v>
      </c>
      <c r="D53" s="42">
        <v>0.451943</v>
      </c>
      <c r="E53" s="42">
        <v>0.833045</v>
      </c>
      <c r="F53" s="42">
        <v>0.861236</v>
      </c>
      <c r="G53" s="42">
        <v>0.715956</v>
      </c>
      <c r="H53" s="42">
        <v>0.381059</v>
      </c>
      <c r="I53" s="42">
        <v>0.2252</v>
      </c>
      <c r="J53" s="42">
        <v>0.388035</v>
      </c>
      <c r="K53" s="42">
        <v>0.256303</v>
      </c>
      <c r="L53" s="34">
        <v>4.646036</v>
      </c>
      <c r="O53" s="34"/>
      <c r="P53" s="34"/>
      <c r="Q53" s="34"/>
      <c r="R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O54" s="34"/>
      <c r="P54" s="34"/>
      <c r="Q54" s="34"/>
      <c r="R54" s="34"/>
    </row>
    <row r="55">
      <c r="A55" s="34" t="s">
        <v>39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O55" s="34"/>
      <c r="P55" s="34"/>
      <c r="Q55" s="34"/>
      <c r="R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O56" s="34"/>
      <c r="P56" s="34"/>
      <c r="Q56" s="34"/>
      <c r="R56" s="34"/>
    </row>
    <row r="57">
      <c r="A57" s="35"/>
      <c r="B57" s="35" t="s">
        <v>19</v>
      </c>
      <c r="C57" s="35" t="s">
        <v>20</v>
      </c>
      <c r="D57" s="35" t="s">
        <v>21</v>
      </c>
      <c r="E57" s="35" t="s">
        <v>22</v>
      </c>
      <c r="F57" s="35" t="s">
        <v>23</v>
      </c>
      <c r="G57" s="35" t="s">
        <v>24</v>
      </c>
      <c r="H57" s="35" t="s">
        <v>25</v>
      </c>
      <c r="I57" s="35" t="s">
        <v>26</v>
      </c>
      <c r="J57" s="35" t="s">
        <v>27</v>
      </c>
      <c r="K57" s="34" t="s">
        <v>28</v>
      </c>
      <c r="L57" s="34"/>
      <c r="O57" s="34"/>
      <c r="P57" s="34"/>
      <c r="Q57" s="34"/>
      <c r="R57" s="34"/>
    </row>
    <row r="58">
      <c r="A58" s="50"/>
      <c r="B58" s="51">
        <v>0.908544</v>
      </c>
      <c r="C58" s="51">
        <v>0.925654</v>
      </c>
      <c r="D58" s="51">
        <v>0.857895</v>
      </c>
      <c r="E58" s="51">
        <v>0.571226</v>
      </c>
      <c r="F58" s="51">
        <v>0.558064</v>
      </c>
      <c r="G58" s="51">
        <v>0.630175</v>
      </c>
      <c r="H58" s="51">
        <v>0.781969</v>
      </c>
      <c r="I58" s="51">
        <v>0.92864</v>
      </c>
      <c r="J58" s="51">
        <v>0.8886</v>
      </c>
      <c r="K58" s="52">
        <v>0.888939</v>
      </c>
      <c r="L58" s="34">
        <v>0.822144</v>
      </c>
      <c r="O58" s="34"/>
      <c r="P58" s="34"/>
      <c r="Q58" s="34"/>
      <c r="R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O59" s="34"/>
      <c r="P59" s="34"/>
      <c r="Q59" s="34"/>
      <c r="R59" s="34"/>
    </row>
    <row r="60">
      <c r="A60" s="69" t="s">
        <v>40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O60" s="34"/>
      <c r="P60" s="34"/>
      <c r="Q60" s="34"/>
      <c r="R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O61" s="34"/>
      <c r="P61" s="34"/>
      <c r="Q61" s="34"/>
      <c r="R61" s="34"/>
    </row>
    <row r="62">
      <c r="A62" s="50"/>
      <c r="B62" s="51">
        <v>4.74623</v>
      </c>
      <c r="C62" s="51">
        <v>2.262021</v>
      </c>
      <c r="D62" s="51">
        <v>1.906686</v>
      </c>
      <c r="E62" s="51">
        <v>0.273189</v>
      </c>
      <c r="F62" s="51">
        <v>0.19469</v>
      </c>
      <c r="G62" s="51">
        <v>0.176028</v>
      </c>
      <c r="H62" s="51">
        <v>0.155709</v>
      </c>
      <c r="I62" s="51">
        <v>0.130812</v>
      </c>
      <c r="J62" s="53">
        <v>0.096164</v>
      </c>
      <c r="K62" s="34">
        <v>0.058473</v>
      </c>
      <c r="L62" s="34"/>
      <c r="O62" s="34"/>
      <c r="P62" s="34"/>
      <c r="Q62" s="34"/>
      <c r="R62" s="34"/>
    </row>
    <row r="63">
      <c r="A63" s="41"/>
      <c r="B63" s="42">
        <v>-0.41074</v>
      </c>
      <c r="C63" s="42">
        <v>-0.12799</v>
      </c>
      <c r="D63" s="42">
        <v>-0.13521</v>
      </c>
      <c r="E63" s="42">
        <v>-0.08099</v>
      </c>
      <c r="F63" s="42">
        <v>-0.10451</v>
      </c>
      <c r="G63" s="42">
        <v>-0.55121</v>
      </c>
      <c r="H63" s="42">
        <v>-0.59927</v>
      </c>
      <c r="I63" s="42">
        <v>-0.30011</v>
      </c>
      <c r="J63" s="43">
        <v>-0.14049</v>
      </c>
      <c r="K63" s="34">
        <v>-0.07991</v>
      </c>
      <c r="L63" s="34"/>
      <c r="O63" s="34"/>
      <c r="P63" s="34"/>
      <c r="Q63" s="34"/>
      <c r="R63" s="34"/>
    </row>
    <row r="64">
      <c r="A64" s="41"/>
      <c r="B64" s="42">
        <v>0.407529</v>
      </c>
      <c r="C64" s="42">
        <v>0.05896</v>
      </c>
      <c r="D64" s="42">
        <v>-0.19097</v>
      </c>
      <c r="E64" s="42">
        <v>-0.16958</v>
      </c>
      <c r="F64" s="42">
        <v>-0.59081</v>
      </c>
      <c r="G64" s="42">
        <v>0.034798</v>
      </c>
      <c r="H64" s="42">
        <v>-0.40338</v>
      </c>
      <c r="I64" s="42">
        <v>0.502042</v>
      </c>
      <c r="J64" s="43">
        <v>-0.00532</v>
      </c>
      <c r="K64" s="34">
        <v>-0.01254</v>
      </c>
      <c r="L64" s="34"/>
      <c r="O64" s="34"/>
      <c r="P64" s="34"/>
      <c r="Q64" s="34"/>
      <c r="R64" s="34"/>
    </row>
    <row r="65">
      <c r="A65" s="41"/>
      <c r="B65" s="42">
        <v>0.382965</v>
      </c>
      <c r="C65" s="42">
        <v>-0.04995</v>
      </c>
      <c r="D65" s="42">
        <v>-0.33193</v>
      </c>
      <c r="E65" s="42">
        <v>-0.13847</v>
      </c>
      <c r="F65" s="42">
        <v>-0.10447</v>
      </c>
      <c r="G65" s="42">
        <v>0.030447</v>
      </c>
      <c r="H65" s="42">
        <v>-0.0023</v>
      </c>
      <c r="I65" s="42">
        <v>-0.59944</v>
      </c>
      <c r="J65" s="43">
        <v>0.591084</v>
      </c>
      <c r="K65" s="34">
        <v>-0.03054</v>
      </c>
      <c r="L65" s="34"/>
      <c r="O65" s="34"/>
      <c r="P65" s="34"/>
      <c r="Q65" s="34"/>
      <c r="R65" s="34"/>
    </row>
    <row r="66">
      <c r="A66" s="41"/>
      <c r="B66" s="42">
        <v>0.093271</v>
      </c>
      <c r="C66" s="42">
        <v>-0.44044</v>
      </c>
      <c r="D66" s="42">
        <v>0.502405</v>
      </c>
      <c r="E66" s="42">
        <v>-0.12133</v>
      </c>
      <c r="F66" s="42">
        <v>-0.05518</v>
      </c>
      <c r="G66" s="42">
        <v>-0.07748</v>
      </c>
      <c r="H66" s="42">
        <v>-0.11591</v>
      </c>
      <c r="I66" s="42">
        <v>-0.00745</v>
      </c>
      <c r="J66" s="43">
        <v>0.177943</v>
      </c>
      <c r="K66" s="34">
        <v>0.689915</v>
      </c>
      <c r="L66" s="34"/>
      <c r="O66" s="34"/>
      <c r="P66" s="34"/>
      <c r="Q66" s="34"/>
      <c r="R66" s="34"/>
    </row>
    <row r="67">
      <c r="A67" s="41"/>
      <c r="B67" s="42">
        <v>0.074969</v>
      </c>
      <c r="C67" s="42">
        <v>-0.46169</v>
      </c>
      <c r="D67" s="42">
        <v>0.488386</v>
      </c>
      <c r="E67" s="42">
        <v>-0.09852</v>
      </c>
      <c r="F67" s="42">
        <v>-0.06517</v>
      </c>
      <c r="G67" s="42">
        <v>0.100395</v>
      </c>
      <c r="H67" s="42">
        <v>-0.05994</v>
      </c>
      <c r="I67" s="42">
        <v>-0.00253</v>
      </c>
      <c r="J67" s="43">
        <v>0.107434</v>
      </c>
      <c r="K67" s="34">
        <v>-0.70959</v>
      </c>
      <c r="L67" s="34"/>
      <c r="O67" s="34"/>
      <c r="P67" s="34"/>
      <c r="Q67" s="34"/>
      <c r="R67" s="34"/>
    </row>
    <row r="68">
      <c r="A68" s="41"/>
      <c r="B68" s="42">
        <v>-0.12806</v>
      </c>
      <c r="C68" s="42">
        <v>0.537013</v>
      </c>
      <c r="D68" s="42">
        <v>0.316235</v>
      </c>
      <c r="E68" s="42">
        <v>-0.01606</v>
      </c>
      <c r="F68" s="42">
        <v>0.309564</v>
      </c>
      <c r="G68" s="42">
        <v>0.080168</v>
      </c>
      <c r="H68" s="42">
        <v>-0.42855</v>
      </c>
      <c r="I68" s="42">
        <v>0.174616</v>
      </c>
      <c r="J68" s="43">
        <v>0.52586</v>
      </c>
      <c r="K68" s="34">
        <v>-0.04495</v>
      </c>
      <c r="L68" s="34"/>
      <c r="O68" s="34"/>
      <c r="P68" s="34"/>
      <c r="Q68" s="34"/>
      <c r="R68" s="34"/>
    </row>
    <row r="69">
      <c r="A69" s="41"/>
      <c r="B69" s="42">
        <v>-0.19721</v>
      </c>
      <c r="C69" s="42">
        <v>0.443663</v>
      </c>
      <c r="D69" s="42">
        <v>0.353494</v>
      </c>
      <c r="E69" s="42">
        <v>-0.47131</v>
      </c>
      <c r="F69" s="42">
        <v>-0.49415</v>
      </c>
      <c r="G69" s="42">
        <v>0.036541</v>
      </c>
      <c r="H69" s="42">
        <v>0.25586</v>
      </c>
      <c r="I69" s="42">
        <v>-0.29645</v>
      </c>
      <c r="J69" s="43">
        <v>-0.13504</v>
      </c>
      <c r="K69" s="34">
        <v>0.008783</v>
      </c>
      <c r="L69" s="34"/>
      <c r="O69" s="34"/>
      <c r="P69" s="34"/>
      <c r="Q69" s="34"/>
      <c r="R69" s="34"/>
    </row>
    <row r="70">
      <c r="A70" s="41"/>
      <c r="B70" s="42">
        <v>0.410541</v>
      </c>
      <c r="C70" s="42">
        <v>0.127523</v>
      </c>
      <c r="D70" s="42">
        <v>0.075544</v>
      </c>
      <c r="E70" s="42">
        <v>-0.34746</v>
      </c>
      <c r="F70" s="42">
        <v>0.313121</v>
      </c>
      <c r="G70" s="42">
        <v>-0.70099</v>
      </c>
      <c r="H70" s="42">
        <v>0.24406</v>
      </c>
      <c r="I70" s="42">
        <v>0.173663</v>
      </c>
      <c r="J70" s="43">
        <v>-0.03048</v>
      </c>
      <c r="K70" s="34">
        <v>-0.09315</v>
      </c>
      <c r="L70" s="34"/>
      <c r="O70" s="34"/>
      <c r="P70" s="34"/>
      <c r="Q70" s="34"/>
      <c r="R70" s="34"/>
    </row>
    <row r="71">
      <c r="A71" s="41"/>
      <c r="B71" s="42">
        <v>0.420487</v>
      </c>
      <c r="C71" s="42">
        <v>0.106721</v>
      </c>
      <c r="D71" s="42">
        <v>0.098615</v>
      </c>
      <c r="E71" s="42">
        <v>-0.19358</v>
      </c>
      <c r="F71" s="42">
        <v>0.343069</v>
      </c>
      <c r="G71" s="42">
        <v>0.328831</v>
      </c>
      <c r="H71" s="42">
        <v>-0.38995</v>
      </c>
      <c r="I71" s="42">
        <v>-0.31881</v>
      </c>
      <c r="J71" s="43">
        <v>-0.53255</v>
      </c>
      <c r="K71" s="34">
        <v>0.038197</v>
      </c>
      <c r="L71" s="34"/>
      <c r="O71" s="34"/>
      <c r="P71" s="34"/>
      <c r="Q71" s="34"/>
      <c r="R71" s="34"/>
    </row>
    <row r="72">
      <c r="A72" s="44"/>
      <c r="B72" s="45">
        <v>-0.32185</v>
      </c>
      <c r="C72" s="45">
        <v>-0.24007</v>
      </c>
      <c r="D72" s="45">
        <v>-0.32209</v>
      </c>
      <c r="E72" s="45">
        <v>-0.73518</v>
      </c>
      <c r="F72" s="45">
        <v>0.257018</v>
      </c>
      <c r="G72" s="45">
        <v>0.265831</v>
      </c>
      <c r="H72" s="45">
        <v>0.019318</v>
      </c>
      <c r="I72" s="45">
        <v>0.219832</v>
      </c>
      <c r="J72" s="46">
        <v>0.091335</v>
      </c>
      <c r="K72" s="34">
        <v>0.027997</v>
      </c>
      <c r="L72" s="34"/>
      <c r="O72" s="34"/>
      <c r="P72" s="34"/>
      <c r="Q72" s="34"/>
      <c r="R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O73" s="34"/>
      <c r="P73" s="34"/>
      <c r="Q73" s="34"/>
      <c r="R73" s="34"/>
    </row>
    <row r="74">
      <c r="A74" s="69" t="s">
        <v>41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O74" s="34"/>
      <c r="P74" s="34"/>
      <c r="Q74" s="34"/>
      <c r="R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O75" s="34"/>
      <c r="P75" s="34"/>
      <c r="Q75" s="34"/>
      <c r="R75" s="34"/>
    </row>
    <row r="76">
      <c r="A76" s="42"/>
      <c r="B76" s="42">
        <v>1.0</v>
      </c>
      <c r="C76" s="42">
        <v>2.0</v>
      </c>
      <c r="D76" s="42">
        <v>3.0</v>
      </c>
      <c r="E76" s="42">
        <v>4.0</v>
      </c>
      <c r="F76" s="42">
        <v>5.0</v>
      </c>
      <c r="G76" s="42">
        <v>6.0</v>
      </c>
      <c r="H76" s="42">
        <v>7.0</v>
      </c>
      <c r="I76" s="42">
        <v>8.0</v>
      </c>
      <c r="J76" s="42">
        <v>9.0</v>
      </c>
      <c r="K76" s="34">
        <v>10.0</v>
      </c>
      <c r="L76" s="35"/>
      <c r="M76" s="69" t="s">
        <v>42</v>
      </c>
      <c r="O76" s="34"/>
      <c r="P76" s="34"/>
      <c r="Q76" s="34"/>
      <c r="R76" s="34"/>
    </row>
    <row r="77">
      <c r="A77" s="38" t="s">
        <v>19</v>
      </c>
      <c r="B77" s="39">
        <v>-0.89483</v>
      </c>
      <c r="C77" s="39">
        <v>-0.19249</v>
      </c>
      <c r="D77" s="39">
        <v>-0.1867</v>
      </c>
      <c r="E77" s="39">
        <v>-0.04233</v>
      </c>
      <c r="F77" s="39">
        <v>-0.04611</v>
      </c>
      <c r="G77" s="39">
        <v>-0.23127</v>
      </c>
      <c r="H77" s="39">
        <v>-0.23647</v>
      </c>
      <c r="I77" s="39">
        <v>-0.10854</v>
      </c>
      <c r="J77" s="40">
        <v>-0.04357</v>
      </c>
      <c r="K77" s="34">
        <v>-0.01932</v>
      </c>
      <c r="L77" s="47"/>
      <c r="M77" s="69">
        <v>1.0</v>
      </c>
      <c r="O77" s="34"/>
      <c r="P77" s="34"/>
      <c r="Q77" s="34"/>
      <c r="R77" s="34"/>
    </row>
    <row r="78">
      <c r="A78" s="41" t="s">
        <v>20</v>
      </c>
      <c r="B78" s="42">
        <v>0.887837</v>
      </c>
      <c r="C78" s="42">
        <v>0.088675</v>
      </c>
      <c r="D78" s="42">
        <v>-0.2637</v>
      </c>
      <c r="E78" s="42">
        <v>-0.08863</v>
      </c>
      <c r="F78" s="42">
        <v>-0.26069</v>
      </c>
      <c r="G78" s="42">
        <v>0.0146</v>
      </c>
      <c r="H78" s="42">
        <v>-0.15917</v>
      </c>
      <c r="I78" s="42">
        <v>0.181578</v>
      </c>
      <c r="J78" s="43">
        <v>-0.00165</v>
      </c>
      <c r="K78" s="34">
        <v>-0.00303</v>
      </c>
      <c r="L78" s="48"/>
      <c r="M78" s="69">
        <v>1.0</v>
      </c>
      <c r="O78" s="34"/>
      <c r="P78" s="34"/>
      <c r="Q78" s="34"/>
      <c r="R78" s="34"/>
    </row>
    <row r="79">
      <c r="A79" s="41" t="s">
        <v>21</v>
      </c>
      <c r="B79" s="42">
        <v>0.834322</v>
      </c>
      <c r="C79" s="42">
        <v>-0.07513</v>
      </c>
      <c r="D79" s="42">
        <v>-0.45834</v>
      </c>
      <c r="E79" s="42">
        <v>-0.07237</v>
      </c>
      <c r="F79" s="42">
        <v>-0.0461</v>
      </c>
      <c r="G79" s="42">
        <v>0.012774</v>
      </c>
      <c r="H79" s="42">
        <v>-9.1E-4</v>
      </c>
      <c r="I79" s="42">
        <v>-0.21681</v>
      </c>
      <c r="J79" s="43">
        <v>0.183297</v>
      </c>
      <c r="K79" s="34">
        <v>-0.00739</v>
      </c>
      <c r="L79" s="48"/>
      <c r="M79" s="69">
        <v>1.0</v>
      </c>
      <c r="O79" s="34"/>
      <c r="P79" s="34"/>
      <c r="Q79" s="34"/>
      <c r="R79" s="34"/>
    </row>
    <row r="80">
      <c r="A80" s="41" t="s">
        <v>22</v>
      </c>
      <c r="B80" s="42">
        <v>0.203198</v>
      </c>
      <c r="C80" s="42">
        <v>-0.66242</v>
      </c>
      <c r="D80" s="42">
        <v>0.693735</v>
      </c>
      <c r="E80" s="42">
        <v>-0.06341</v>
      </c>
      <c r="F80" s="42">
        <v>-0.02435</v>
      </c>
      <c r="G80" s="42">
        <v>-0.03251</v>
      </c>
      <c r="H80" s="42">
        <v>-0.04574</v>
      </c>
      <c r="I80" s="42">
        <v>-0.00269</v>
      </c>
      <c r="J80" s="43">
        <v>0.055181</v>
      </c>
      <c r="K80" s="34">
        <v>0.166829</v>
      </c>
      <c r="L80" s="48"/>
      <c r="M80" s="69">
        <v>1.0</v>
      </c>
      <c r="O80" s="34"/>
      <c r="P80" s="34"/>
      <c r="Q80" s="34"/>
      <c r="R80" s="34"/>
    </row>
    <row r="81">
      <c r="A81" s="41" t="s">
        <v>23</v>
      </c>
      <c r="B81" s="42">
        <v>0.163326</v>
      </c>
      <c r="C81" s="42">
        <v>-0.69439</v>
      </c>
      <c r="D81" s="42">
        <v>0.674376</v>
      </c>
      <c r="E81" s="42">
        <v>-0.05149</v>
      </c>
      <c r="F81" s="42">
        <v>-0.02876</v>
      </c>
      <c r="G81" s="42">
        <v>0.042122</v>
      </c>
      <c r="H81" s="42">
        <v>-0.02365</v>
      </c>
      <c r="I81" s="42">
        <v>-9.1E-4</v>
      </c>
      <c r="J81" s="43">
        <v>0.033316</v>
      </c>
      <c r="K81" s="34">
        <v>-0.17159</v>
      </c>
      <c r="L81" s="48"/>
      <c r="M81" s="69">
        <v>1.0</v>
      </c>
      <c r="O81" s="34"/>
      <c r="P81" s="34"/>
      <c r="Q81" s="34"/>
      <c r="R81" s="34"/>
    </row>
    <row r="82">
      <c r="A82" s="41" t="s">
        <v>24</v>
      </c>
      <c r="B82" s="42">
        <v>-0.279</v>
      </c>
      <c r="C82" s="42">
        <v>0.807669</v>
      </c>
      <c r="D82" s="42">
        <v>0.436666</v>
      </c>
      <c r="E82" s="42">
        <v>-0.00839</v>
      </c>
      <c r="F82" s="42">
        <v>0.136591</v>
      </c>
      <c r="G82" s="42">
        <v>0.033635</v>
      </c>
      <c r="H82" s="42">
        <v>-0.16911</v>
      </c>
      <c r="I82" s="42">
        <v>0.063155</v>
      </c>
      <c r="J82" s="43">
        <v>0.163071</v>
      </c>
      <c r="K82" s="34">
        <v>-0.01087</v>
      </c>
      <c r="L82" s="48"/>
      <c r="M82" s="69">
        <v>1.0</v>
      </c>
      <c r="O82" s="34"/>
      <c r="P82" s="34"/>
      <c r="Q82" s="34"/>
      <c r="R82" s="34"/>
    </row>
    <row r="83">
      <c r="A83" s="41" t="s">
        <v>25</v>
      </c>
      <c r="B83" s="42">
        <v>-0.42964</v>
      </c>
      <c r="C83" s="42">
        <v>0.66727</v>
      </c>
      <c r="D83" s="42">
        <v>0.488114</v>
      </c>
      <c r="E83" s="42">
        <v>-0.24634</v>
      </c>
      <c r="F83" s="42">
        <v>-0.21804</v>
      </c>
      <c r="G83" s="42">
        <v>0.015331</v>
      </c>
      <c r="H83" s="42">
        <v>0.100962</v>
      </c>
      <c r="I83" s="42">
        <v>-0.10722</v>
      </c>
      <c r="J83" s="43">
        <v>-0.04188</v>
      </c>
      <c r="K83" s="34">
        <v>0.002124</v>
      </c>
      <c r="L83" s="48"/>
      <c r="M83" s="69">
        <v>1.0</v>
      </c>
      <c r="O83" s="34"/>
      <c r="P83" s="34"/>
      <c r="Q83" s="34"/>
      <c r="R83" s="34"/>
    </row>
    <row r="84">
      <c r="A84" s="41" t="s">
        <v>26</v>
      </c>
      <c r="B84" s="42">
        <v>0.894399</v>
      </c>
      <c r="C84" s="42">
        <v>0.191795</v>
      </c>
      <c r="D84" s="42">
        <v>0.104313</v>
      </c>
      <c r="E84" s="42">
        <v>-0.18161</v>
      </c>
      <c r="F84" s="42">
        <v>0.13816</v>
      </c>
      <c r="G84" s="42">
        <v>-0.2941</v>
      </c>
      <c r="H84" s="42">
        <v>0.096306</v>
      </c>
      <c r="I84" s="42">
        <v>0.06281</v>
      </c>
      <c r="J84" s="43">
        <v>-0.00945</v>
      </c>
      <c r="K84" s="34">
        <v>-0.02252</v>
      </c>
      <c r="L84" s="48"/>
      <c r="M84" s="69">
        <v>1.0</v>
      </c>
      <c r="O84" s="34"/>
      <c r="P84" s="34"/>
      <c r="Q84" s="34"/>
      <c r="R84" s="34"/>
    </row>
    <row r="85">
      <c r="A85" s="41" t="s">
        <v>27</v>
      </c>
      <c r="B85" s="42">
        <v>0.916066</v>
      </c>
      <c r="C85" s="42">
        <v>0.160508</v>
      </c>
      <c r="D85" s="42">
        <v>0.136171</v>
      </c>
      <c r="E85" s="42">
        <v>-0.10118</v>
      </c>
      <c r="F85" s="42">
        <v>0.151374</v>
      </c>
      <c r="G85" s="42">
        <v>0.137963</v>
      </c>
      <c r="H85" s="42">
        <v>-0.15388</v>
      </c>
      <c r="I85" s="42">
        <v>-0.11531</v>
      </c>
      <c r="J85" s="43">
        <v>-0.16515</v>
      </c>
      <c r="K85" s="34">
        <v>0.009237</v>
      </c>
      <c r="L85" s="48"/>
      <c r="M85" s="69">
        <v>1.0</v>
      </c>
      <c r="O85" s="34"/>
      <c r="P85" s="34"/>
      <c r="Q85" s="34"/>
      <c r="R85" s="34"/>
    </row>
    <row r="86">
      <c r="A86" s="44" t="s">
        <v>28</v>
      </c>
      <c r="B86" s="45">
        <v>-0.70117</v>
      </c>
      <c r="C86" s="45">
        <v>-0.36106</v>
      </c>
      <c r="D86" s="45">
        <v>-0.44476</v>
      </c>
      <c r="E86" s="45">
        <v>-0.38426</v>
      </c>
      <c r="F86" s="45">
        <v>0.113406</v>
      </c>
      <c r="G86" s="45">
        <v>0.111531</v>
      </c>
      <c r="H86" s="45">
        <v>0.007623</v>
      </c>
      <c r="I86" s="45">
        <v>0.079509</v>
      </c>
      <c r="J86" s="46">
        <v>0.028323</v>
      </c>
      <c r="K86" s="34">
        <v>0.00677</v>
      </c>
      <c r="L86" s="49"/>
      <c r="M86" s="69">
        <v>1.0</v>
      </c>
      <c r="O86" s="34"/>
      <c r="P86" s="34"/>
      <c r="Q86" s="34"/>
      <c r="R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O87" s="34"/>
      <c r="P87" s="34"/>
      <c r="Q87" s="34"/>
      <c r="R87" s="34"/>
    </row>
    <row r="88">
      <c r="A88" s="34" t="s">
        <v>43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O88" s="34"/>
      <c r="P88" s="34"/>
      <c r="Q88" s="34"/>
      <c r="R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O89" s="34"/>
      <c r="P89" s="34"/>
      <c r="Q89" s="34"/>
      <c r="R89" s="34"/>
    </row>
    <row r="90">
      <c r="A90" s="54"/>
      <c r="B90" s="54" t="s">
        <v>44</v>
      </c>
      <c r="C90" s="54" t="s">
        <v>45</v>
      </c>
      <c r="D90" s="34" t="s">
        <v>46</v>
      </c>
      <c r="E90" s="34"/>
      <c r="F90" s="34"/>
      <c r="G90" s="34"/>
      <c r="H90" s="34"/>
      <c r="I90" s="34"/>
      <c r="J90" s="34"/>
      <c r="K90" s="34"/>
      <c r="L90" s="34"/>
      <c r="O90" s="34"/>
      <c r="P90" s="34"/>
      <c r="Q90" s="34"/>
      <c r="R90" s="34"/>
    </row>
    <row r="91">
      <c r="A91" s="38"/>
      <c r="B91" s="55">
        <v>4.7462</v>
      </c>
      <c r="C91" s="56">
        <v>0.4746</v>
      </c>
      <c r="D91" s="34">
        <v>0.4746</v>
      </c>
      <c r="E91" s="34"/>
      <c r="F91" s="34"/>
      <c r="G91" s="34"/>
      <c r="H91" s="34"/>
      <c r="I91" s="34"/>
      <c r="J91" s="34"/>
      <c r="K91" s="34"/>
      <c r="L91" s="34"/>
      <c r="O91" s="34"/>
      <c r="P91" s="34"/>
      <c r="Q91" s="34"/>
      <c r="R91" s="34"/>
    </row>
    <row r="92">
      <c r="A92" s="41"/>
      <c r="B92" s="57">
        <v>2.262</v>
      </c>
      <c r="C92" s="58">
        <v>0.2262</v>
      </c>
      <c r="D92" s="34">
        <v>0.7008</v>
      </c>
      <c r="E92" s="34"/>
      <c r="F92" s="34"/>
      <c r="G92" s="34"/>
      <c r="H92" s="34"/>
      <c r="I92" s="34"/>
      <c r="J92" s="34"/>
      <c r="K92" s="34"/>
      <c r="L92" s="34"/>
      <c r="O92" s="34"/>
      <c r="P92" s="34"/>
      <c r="Q92" s="34"/>
      <c r="R92" s="34"/>
    </row>
    <row r="93">
      <c r="A93" s="41"/>
      <c r="B93" s="57">
        <v>1.9067</v>
      </c>
      <c r="C93" s="58">
        <v>0.1907</v>
      </c>
      <c r="D93" s="34">
        <v>0.8915</v>
      </c>
      <c r="E93" s="34"/>
      <c r="F93" s="34"/>
      <c r="G93" s="34"/>
      <c r="H93" s="34"/>
      <c r="I93" s="34"/>
      <c r="J93" s="34"/>
      <c r="K93" s="34"/>
      <c r="L93" s="34"/>
      <c r="O93" s="34"/>
      <c r="P93" s="34"/>
      <c r="Q93" s="34"/>
      <c r="R93" s="34"/>
    </row>
    <row r="94">
      <c r="A94" s="41"/>
      <c r="B94" s="57">
        <v>0.2732</v>
      </c>
      <c r="C94" s="58">
        <v>0.0273</v>
      </c>
      <c r="D94" s="34">
        <v>0.9188</v>
      </c>
      <c r="E94" s="34"/>
      <c r="F94" s="34"/>
      <c r="G94" s="34"/>
      <c r="H94" s="34"/>
      <c r="I94" s="34"/>
      <c r="J94" s="34"/>
      <c r="K94" s="34"/>
      <c r="L94" s="34"/>
      <c r="O94" s="34"/>
      <c r="P94" s="34"/>
      <c r="Q94" s="34"/>
      <c r="R94" s="34"/>
    </row>
    <row r="95">
      <c r="A95" s="41"/>
      <c r="B95" s="57">
        <v>0.1947</v>
      </c>
      <c r="C95" s="58">
        <v>0.0195</v>
      </c>
      <c r="D95" s="34">
        <v>0.9383</v>
      </c>
      <c r="E95" s="34"/>
      <c r="F95" s="34"/>
      <c r="G95" s="34"/>
      <c r="H95" s="34"/>
      <c r="I95" s="34"/>
      <c r="J95" s="34"/>
      <c r="K95" s="34"/>
      <c r="L95" s="34"/>
      <c r="O95" s="34"/>
      <c r="P95" s="34"/>
      <c r="Q95" s="34"/>
      <c r="R95" s="34"/>
    </row>
    <row r="96">
      <c r="A96" s="41"/>
      <c r="B96" s="57">
        <v>0.176</v>
      </c>
      <c r="C96" s="58">
        <v>0.0176</v>
      </c>
      <c r="D96" s="34">
        <v>0.9559</v>
      </c>
      <c r="E96" s="34"/>
      <c r="F96" s="34"/>
      <c r="G96" s="34"/>
      <c r="H96" s="34"/>
      <c r="I96" s="34"/>
      <c r="J96" s="34"/>
      <c r="K96" s="34"/>
      <c r="L96" s="34"/>
      <c r="O96" s="34"/>
      <c r="P96" s="34"/>
      <c r="Q96" s="34"/>
      <c r="R96" s="34"/>
    </row>
    <row r="97">
      <c r="A97" s="41"/>
      <c r="B97" s="57">
        <v>0.1557</v>
      </c>
      <c r="C97" s="58">
        <v>0.0156</v>
      </c>
      <c r="D97" s="34">
        <v>0.9715</v>
      </c>
      <c r="E97" s="34"/>
      <c r="F97" s="34"/>
      <c r="G97" s="34"/>
      <c r="H97" s="34"/>
      <c r="I97" s="34"/>
      <c r="J97" s="34"/>
      <c r="K97" s="34"/>
      <c r="L97" s="34"/>
      <c r="O97" s="34"/>
      <c r="P97" s="34"/>
      <c r="Q97" s="34"/>
      <c r="R97" s="34"/>
    </row>
    <row r="98">
      <c r="A98" s="41"/>
      <c r="B98" s="57">
        <v>0.1308</v>
      </c>
      <c r="C98" s="58">
        <v>0.0131</v>
      </c>
      <c r="D98" s="34">
        <v>0.9845</v>
      </c>
      <c r="E98" s="34"/>
      <c r="F98" s="34"/>
      <c r="G98" s="34"/>
      <c r="H98" s="34"/>
      <c r="I98" s="34"/>
      <c r="J98" s="34"/>
      <c r="K98" s="34"/>
      <c r="L98" s="34"/>
      <c r="O98" s="34"/>
      <c r="P98" s="34"/>
      <c r="Q98" s="34"/>
      <c r="R98" s="34"/>
    </row>
    <row r="99">
      <c r="A99" s="41"/>
      <c r="B99" s="57">
        <v>0.0962</v>
      </c>
      <c r="C99" s="58">
        <v>0.0096</v>
      </c>
      <c r="D99" s="34">
        <v>0.9942</v>
      </c>
      <c r="E99" s="34"/>
      <c r="F99" s="34"/>
      <c r="G99" s="34"/>
      <c r="H99" s="34"/>
      <c r="I99" s="34"/>
      <c r="J99" s="34"/>
      <c r="K99" s="34"/>
      <c r="L99" s="34"/>
      <c r="O99" s="34"/>
      <c r="P99" s="34"/>
      <c r="Q99" s="34"/>
      <c r="R99" s="34"/>
    </row>
    <row r="100">
      <c r="A100" s="44"/>
      <c r="B100" s="59">
        <v>0.0585</v>
      </c>
      <c r="C100" s="60">
        <v>0.0058</v>
      </c>
      <c r="D100" s="34">
        <v>1.0</v>
      </c>
      <c r="E100" s="34"/>
      <c r="F100" s="34"/>
      <c r="G100" s="34"/>
      <c r="H100" s="34"/>
      <c r="I100" s="34"/>
      <c r="J100" s="34"/>
      <c r="K100" s="34"/>
      <c r="L100" s="34"/>
      <c r="O100" s="34"/>
      <c r="P100" s="34"/>
      <c r="Q100" s="34"/>
      <c r="R100" s="34"/>
    </row>
    <row r="101">
      <c r="A101" s="42"/>
      <c r="B101" s="34">
        <v>10.0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O101" s="34"/>
      <c r="P101" s="34"/>
      <c r="Q101" s="34"/>
      <c r="R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O102" s="34"/>
      <c r="P102" s="34"/>
      <c r="Q102" s="34"/>
      <c r="R102" s="34"/>
    </row>
    <row r="103">
      <c r="A103" s="69" t="s">
        <v>47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O103" s="34"/>
      <c r="P103" s="34"/>
      <c r="Q103" s="34"/>
      <c r="R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O104" s="34"/>
      <c r="P104" s="34"/>
      <c r="Q104" s="34"/>
      <c r="R104" s="34"/>
    </row>
    <row r="105">
      <c r="A105" s="42"/>
      <c r="B105" s="42">
        <v>1.0</v>
      </c>
      <c r="C105" s="42">
        <v>2.0</v>
      </c>
      <c r="D105" s="42">
        <v>3.0</v>
      </c>
      <c r="E105" s="34"/>
      <c r="F105" s="35" t="s">
        <v>42</v>
      </c>
      <c r="G105" s="35" t="s">
        <v>48</v>
      </c>
      <c r="H105" s="34"/>
      <c r="I105" s="34"/>
      <c r="J105" s="34"/>
      <c r="K105" s="34"/>
      <c r="L105" s="34"/>
      <c r="O105" s="34"/>
      <c r="P105" s="34"/>
      <c r="Q105" s="34"/>
      <c r="R105" s="34"/>
    </row>
    <row r="106">
      <c r="A106" s="38" t="s">
        <v>19</v>
      </c>
      <c r="B106" s="39">
        <v>-0.89483</v>
      </c>
      <c r="C106" s="39">
        <v>-0.19249</v>
      </c>
      <c r="D106" s="40">
        <v>-0.1867</v>
      </c>
      <c r="E106" s="34"/>
      <c r="F106" s="47">
        <v>0.872626</v>
      </c>
      <c r="G106" s="40">
        <v>0.127374</v>
      </c>
      <c r="H106" s="34"/>
      <c r="I106" s="34"/>
      <c r="J106" s="34"/>
      <c r="K106" s="34"/>
      <c r="L106" s="34"/>
      <c r="O106" s="34"/>
      <c r="P106" s="34"/>
      <c r="Q106" s="34"/>
      <c r="R106" s="34"/>
    </row>
    <row r="107">
      <c r="A107" s="41" t="s">
        <v>20</v>
      </c>
      <c r="B107" s="42">
        <v>0.887837</v>
      </c>
      <c r="C107" s="42">
        <v>0.088675</v>
      </c>
      <c r="D107" s="43">
        <v>-0.2637</v>
      </c>
      <c r="E107" s="34"/>
      <c r="F107" s="48">
        <v>0.865654</v>
      </c>
      <c r="G107" s="43">
        <v>0.134346</v>
      </c>
      <c r="H107" s="34"/>
      <c r="I107" s="34"/>
      <c r="J107" s="34"/>
      <c r="K107" s="34"/>
      <c r="L107" s="34"/>
      <c r="O107" s="34"/>
      <c r="P107" s="34"/>
      <c r="Q107" s="34"/>
      <c r="R107" s="34"/>
    </row>
    <row r="108">
      <c r="A108" s="41" t="s">
        <v>21</v>
      </c>
      <c r="B108" s="42">
        <v>0.834322</v>
      </c>
      <c r="C108" s="42">
        <v>-0.07513</v>
      </c>
      <c r="D108" s="43">
        <v>-0.45834</v>
      </c>
      <c r="E108" s="34"/>
      <c r="F108" s="48">
        <v>0.911816</v>
      </c>
      <c r="G108" s="43">
        <v>0.088184</v>
      </c>
      <c r="H108" s="34"/>
      <c r="I108" s="34"/>
      <c r="J108" s="34"/>
      <c r="K108" s="34"/>
      <c r="L108" s="34"/>
      <c r="O108" s="34"/>
      <c r="P108" s="34"/>
      <c r="Q108" s="34"/>
      <c r="R108" s="34"/>
    </row>
    <row r="109">
      <c r="A109" s="41" t="s">
        <v>22</v>
      </c>
      <c r="B109" s="42">
        <v>0.203198</v>
      </c>
      <c r="C109" s="42">
        <v>-0.66242</v>
      </c>
      <c r="D109" s="43">
        <v>0.693735</v>
      </c>
      <c r="E109" s="34"/>
      <c r="F109" s="48">
        <v>0.961353</v>
      </c>
      <c r="G109" s="43">
        <v>0.038647</v>
      </c>
      <c r="H109" s="34"/>
      <c r="I109" s="34"/>
      <c r="J109" s="34"/>
      <c r="K109" s="34"/>
      <c r="L109" s="34"/>
      <c r="O109" s="34"/>
      <c r="P109" s="34"/>
      <c r="Q109" s="34"/>
      <c r="R109" s="34"/>
    </row>
    <row r="110">
      <c r="A110" s="41" t="s">
        <v>23</v>
      </c>
      <c r="B110" s="42">
        <v>0.163326</v>
      </c>
      <c r="C110" s="42">
        <v>-0.69439</v>
      </c>
      <c r="D110" s="43">
        <v>0.674376</v>
      </c>
      <c r="E110" s="34"/>
      <c r="F110" s="48">
        <v>0.963635</v>
      </c>
      <c r="G110" s="43">
        <v>0.036365</v>
      </c>
      <c r="H110" s="34"/>
      <c r="I110" s="34"/>
      <c r="J110" s="34"/>
      <c r="K110" s="34"/>
      <c r="L110" s="34"/>
      <c r="O110" s="34"/>
      <c r="P110" s="34"/>
      <c r="Q110" s="34"/>
      <c r="R110" s="34"/>
    </row>
    <row r="111">
      <c r="A111" s="41" t="s">
        <v>24</v>
      </c>
      <c r="B111" s="42">
        <v>-0.279</v>
      </c>
      <c r="C111" s="42">
        <v>0.807669</v>
      </c>
      <c r="D111" s="43">
        <v>0.436666</v>
      </c>
      <c r="E111" s="34"/>
      <c r="F111" s="48">
        <v>0.920845</v>
      </c>
      <c r="G111" s="43">
        <v>0.079155</v>
      </c>
      <c r="H111" s="34"/>
      <c r="I111" s="34"/>
      <c r="J111" s="34"/>
      <c r="K111" s="34"/>
      <c r="L111" s="34"/>
      <c r="O111" s="34"/>
      <c r="P111" s="34"/>
      <c r="Q111" s="34"/>
      <c r="R111" s="34"/>
    </row>
    <row r="112">
      <c r="A112" s="41" t="s">
        <v>25</v>
      </c>
      <c r="B112" s="42">
        <v>-0.42964</v>
      </c>
      <c r="C112" s="42">
        <v>0.66727</v>
      </c>
      <c r="D112" s="43">
        <v>0.488114</v>
      </c>
      <c r="E112" s="34"/>
      <c r="F112" s="48">
        <v>0.868092</v>
      </c>
      <c r="G112" s="43">
        <v>0.131908</v>
      </c>
      <c r="H112" s="34"/>
      <c r="I112" s="34"/>
      <c r="J112" s="34"/>
      <c r="K112" s="34"/>
      <c r="L112" s="34"/>
      <c r="O112" s="34"/>
      <c r="P112" s="34"/>
      <c r="Q112" s="34"/>
      <c r="R112" s="34"/>
    </row>
    <row r="113">
      <c r="A113" s="41" t="s">
        <v>26</v>
      </c>
      <c r="B113" s="42">
        <v>0.894399</v>
      </c>
      <c r="C113" s="42">
        <v>0.191795</v>
      </c>
      <c r="D113" s="43">
        <v>0.104313</v>
      </c>
      <c r="E113" s="34"/>
      <c r="F113" s="48">
        <v>0.847616</v>
      </c>
      <c r="G113" s="43">
        <v>0.152384</v>
      </c>
      <c r="H113" s="34"/>
      <c r="I113" s="34"/>
      <c r="J113" s="34"/>
      <c r="K113" s="34"/>
      <c r="L113" s="34"/>
      <c r="O113" s="34"/>
      <c r="P113" s="34"/>
      <c r="Q113" s="34"/>
      <c r="R113" s="34"/>
    </row>
    <row r="114">
      <c r="A114" s="41" t="s">
        <v>27</v>
      </c>
      <c r="B114" s="42">
        <v>0.916066</v>
      </c>
      <c r="C114" s="42">
        <v>0.160508</v>
      </c>
      <c r="D114" s="43">
        <v>0.136171</v>
      </c>
      <c r="E114" s="34"/>
      <c r="F114" s="48">
        <v>0.883482</v>
      </c>
      <c r="G114" s="43">
        <v>0.116518</v>
      </c>
      <c r="H114" s="34"/>
      <c r="I114" s="34"/>
      <c r="J114" s="34"/>
      <c r="K114" s="34"/>
      <c r="L114" s="34"/>
      <c r="O114" s="34"/>
      <c r="P114" s="34"/>
      <c r="Q114" s="34"/>
      <c r="R114" s="34"/>
    </row>
    <row r="115">
      <c r="A115" s="44" t="s">
        <v>28</v>
      </c>
      <c r="B115" s="45">
        <v>-0.70117</v>
      </c>
      <c r="C115" s="45">
        <v>-0.36106</v>
      </c>
      <c r="D115" s="46">
        <v>-0.44476</v>
      </c>
      <c r="E115" s="34"/>
      <c r="F115" s="49">
        <v>0.819817</v>
      </c>
      <c r="G115" s="46">
        <v>0.180183</v>
      </c>
      <c r="H115" s="34"/>
      <c r="I115" s="34"/>
      <c r="J115" s="34"/>
      <c r="K115" s="34"/>
      <c r="L115" s="34"/>
      <c r="O115" s="34"/>
      <c r="P115" s="34"/>
      <c r="Q115" s="34"/>
      <c r="R115" s="34"/>
    </row>
    <row r="116">
      <c r="A116" s="42"/>
      <c r="B116" s="42">
        <v>4.74623</v>
      </c>
      <c r="C116" s="42">
        <v>2.262021</v>
      </c>
      <c r="D116" s="42">
        <v>1.906686</v>
      </c>
      <c r="E116" s="34"/>
      <c r="F116" s="42">
        <v>8.914937</v>
      </c>
      <c r="G116" s="42">
        <v>1.085063</v>
      </c>
      <c r="H116" s="34"/>
      <c r="I116" s="34"/>
      <c r="J116" s="34"/>
      <c r="K116" s="34"/>
      <c r="L116" s="34"/>
      <c r="O116" s="34"/>
      <c r="P116" s="34"/>
      <c r="Q116" s="34"/>
      <c r="R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O117" s="34"/>
      <c r="P117" s="34"/>
      <c r="Q117" s="34"/>
      <c r="R117" s="34"/>
    </row>
    <row r="118">
      <c r="A118" s="69" t="s">
        <v>49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O118" s="34"/>
      <c r="P118" s="34"/>
      <c r="Q118" s="34"/>
      <c r="R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O119" s="34"/>
      <c r="P119" s="34"/>
      <c r="Q119" s="34"/>
      <c r="R119" s="34"/>
    </row>
    <row r="120">
      <c r="A120" s="42"/>
      <c r="B120" s="42">
        <v>1.0</v>
      </c>
      <c r="C120" s="42">
        <v>2.0</v>
      </c>
      <c r="D120" s="42">
        <v>3.0</v>
      </c>
      <c r="E120" s="34"/>
      <c r="F120" s="35" t="s">
        <v>42</v>
      </c>
      <c r="G120" s="35" t="s">
        <v>48</v>
      </c>
      <c r="H120" s="34"/>
      <c r="I120" s="34"/>
      <c r="J120" s="34"/>
      <c r="K120" s="34"/>
      <c r="L120" s="34"/>
      <c r="O120" s="34"/>
      <c r="P120" s="34"/>
      <c r="Q120" s="34"/>
      <c r="R120" s="34"/>
    </row>
    <row r="121">
      <c r="A121" s="38" t="s">
        <v>19</v>
      </c>
      <c r="B121" s="39">
        <v>-0.92745</v>
      </c>
      <c r="C121" s="39">
        <v>0.040608</v>
      </c>
      <c r="D121" s="40">
        <v>-0.10402</v>
      </c>
      <c r="E121" s="34"/>
      <c r="F121" s="47">
        <v>0.872626</v>
      </c>
      <c r="G121" s="40">
        <v>0.127374</v>
      </c>
      <c r="H121" s="34"/>
      <c r="I121" s="34"/>
      <c r="J121" s="34"/>
      <c r="K121" s="34"/>
      <c r="L121" s="34"/>
      <c r="O121" s="34"/>
      <c r="P121" s="34"/>
      <c r="Q121" s="34"/>
      <c r="R121" s="34"/>
    </row>
    <row r="122">
      <c r="A122" s="41" t="s">
        <v>20</v>
      </c>
      <c r="B122" s="42">
        <v>0.82407</v>
      </c>
      <c r="C122" s="42">
        <v>-0.39556</v>
      </c>
      <c r="D122" s="43">
        <v>-0.17349</v>
      </c>
      <c r="E122" s="34"/>
      <c r="F122" s="48">
        <v>0.865654</v>
      </c>
      <c r="G122" s="43">
        <v>0.134346</v>
      </c>
      <c r="H122" s="34"/>
      <c r="I122" s="34"/>
      <c r="J122" s="34"/>
      <c r="K122" s="34"/>
      <c r="L122" s="34"/>
      <c r="O122" s="34"/>
      <c r="P122" s="34"/>
      <c r="Q122" s="34"/>
      <c r="R122" s="34"/>
    </row>
    <row r="123">
      <c r="A123" s="41" t="s">
        <v>21</v>
      </c>
      <c r="B123" s="42">
        <v>0.695053</v>
      </c>
      <c r="C123" s="42">
        <v>-0.61596</v>
      </c>
      <c r="D123" s="43">
        <v>-0.22206</v>
      </c>
      <c r="E123" s="34"/>
      <c r="F123" s="48">
        <v>0.911816</v>
      </c>
      <c r="G123" s="43">
        <v>0.088184</v>
      </c>
      <c r="H123" s="34"/>
      <c r="I123" s="34"/>
      <c r="J123" s="34"/>
      <c r="K123" s="34"/>
      <c r="L123" s="34"/>
      <c r="O123" s="34"/>
      <c r="P123" s="34"/>
      <c r="Q123" s="34"/>
      <c r="R123" s="34"/>
    </row>
    <row r="124">
      <c r="A124" s="41" t="s">
        <v>22</v>
      </c>
      <c r="B124" s="42">
        <v>0.08505</v>
      </c>
      <c r="C124" s="42">
        <v>-0.09433</v>
      </c>
      <c r="D124" s="43">
        <v>0.972225</v>
      </c>
      <c r="E124" s="34"/>
      <c r="F124" s="48">
        <v>0.961353</v>
      </c>
      <c r="G124" s="43">
        <v>0.038647</v>
      </c>
      <c r="H124" s="34"/>
      <c r="I124" s="34"/>
      <c r="J124" s="34"/>
      <c r="K124" s="34"/>
      <c r="L124" s="34"/>
      <c r="O124" s="34"/>
      <c r="P124" s="34"/>
      <c r="Q124" s="34"/>
      <c r="R124" s="34"/>
    </row>
    <row r="125">
      <c r="A125" s="41" t="s">
        <v>23</v>
      </c>
      <c r="B125" s="42">
        <v>0.034886</v>
      </c>
      <c r="C125" s="42">
        <v>-0.11593</v>
      </c>
      <c r="D125" s="43">
        <v>0.974155</v>
      </c>
      <c r="E125" s="34"/>
      <c r="F125" s="48">
        <v>0.963635</v>
      </c>
      <c r="G125" s="43">
        <v>0.036365</v>
      </c>
      <c r="H125" s="34"/>
      <c r="I125" s="34"/>
      <c r="J125" s="34"/>
      <c r="K125" s="34"/>
      <c r="L125" s="34"/>
      <c r="O125" s="34"/>
      <c r="P125" s="34"/>
      <c r="Q125" s="34"/>
      <c r="R125" s="34"/>
    </row>
    <row r="126">
      <c r="A126" s="41" t="s">
        <v>24</v>
      </c>
      <c r="B126" s="42">
        <v>0.050919</v>
      </c>
      <c r="C126" s="42">
        <v>0.934786</v>
      </c>
      <c r="D126" s="43">
        <v>-0.21078</v>
      </c>
      <c r="E126" s="34"/>
      <c r="F126" s="48">
        <v>0.920845</v>
      </c>
      <c r="G126" s="43">
        <v>0.079155</v>
      </c>
      <c r="H126" s="34"/>
      <c r="I126" s="34"/>
      <c r="J126" s="34"/>
      <c r="K126" s="34"/>
      <c r="L126" s="34"/>
      <c r="O126" s="34"/>
      <c r="P126" s="34"/>
      <c r="Q126" s="34"/>
      <c r="R126" s="34"/>
    </row>
    <row r="127">
      <c r="A127" s="41" t="s">
        <v>25</v>
      </c>
      <c r="B127" s="42">
        <v>-0.12681</v>
      </c>
      <c r="C127" s="42">
        <v>0.918041</v>
      </c>
      <c r="D127" s="43">
        <v>-0.09597</v>
      </c>
      <c r="E127" s="34"/>
      <c r="F127" s="48">
        <v>0.868092</v>
      </c>
      <c r="G127" s="43">
        <v>0.131908</v>
      </c>
      <c r="H127" s="34"/>
      <c r="I127" s="34"/>
      <c r="J127" s="34"/>
      <c r="K127" s="34"/>
      <c r="L127" s="34"/>
      <c r="O127" s="34"/>
      <c r="P127" s="34"/>
      <c r="Q127" s="34"/>
      <c r="R127" s="34"/>
    </row>
    <row r="128">
      <c r="A128" s="41" t="s">
        <v>26</v>
      </c>
      <c r="B128" s="42">
        <v>0.915009</v>
      </c>
      <c r="C128" s="42">
        <v>-0.09296</v>
      </c>
      <c r="D128" s="43">
        <v>0.041623</v>
      </c>
      <c r="E128" s="34"/>
      <c r="F128" s="48">
        <v>0.847616</v>
      </c>
      <c r="G128" s="43">
        <v>0.152384</v>
      </c>
      <c r="H128" s="34"/>
      <c r="I128" s="34"/>
      <c r="J128" s="34"/>
      <c r="K128" s="34"/>
      <c r="L128" s="34"/>
      <c r="O128" s="34"/>
      <c r="P128" s="34"/>
      <c r="Q128" s="34"/>
      <c r="R128" s="34"/>
    </row>
    <row r="129">
      <c r="A129" s="41" t="s">
        <v>27</v>
      </c>
      <c r="B129" s="42">
        <v>0.930239</v>
      </c>
      <c r="C129" s="42">
        <v>-0.10195</v>
      </c>
      <c r="D129" s="43">
        <v>0.087996</v>
      </c>
      <c r="E129" s="34"/>
      <c r="F129" s="48">
        <v>0.883482</v>
      </c>
      <c r="G129" s="43">
        <v>0.116518</v>
      </c>
      <c r="H129" s="34"/>
      <c r="I129" s="34"/>
      <c r="J129" s="34"/>
      <c r="K129" s="34"/>
      <c r="L129" s="34"/>
      <c r="O129" s="34"/>
      <c r="P129" s="34"/>
      <c r="Q129" s="34"/>
      <c r="R129" s="34"/>
    </row>
    <row r="130">
      <c r="A130" s="44" t="s">
        <v>28</v>
      </c>
      <c r="B130" s="45">
        <v>-0.83475</v>
      </c>
      <c r="C130" s="45">
        <v>-0.3043</v>
      </c>
      <c r="D130" s="46">
        <v>-0.1744</v>
      </c>
      <c r="E130" s="34"/>
      <c r="F130" s="49">
        <v>0.819817</v>
      </c>
      <c r="G130" s="46">
        <v>0.180183</v>
      </c>
      <c r="H130" s="34"/>
      <c r="I130" s="34"/>
      <c r="J130" s="34"/>
      <c r="K130" s="34"/>
      <c r="L130" s="34"/>
      <c r="O130" s="34"/>
      <c r="P130" s="34"/>
      <c r="Q130" s="34"/>
      <c r="R130" s="34"/>
    </row>
    <row r="131">
      <c r="A131" s="42"/>
      <c r="B131" s="42">
        <v>4.448863</v>
      </c>
      <c r="C131" s="42">
        <v>2.388118</v>
      </c>
      <c r="D131" s="42">
        <v>2.077956</v>
      </c>
      <c r="E131" s="34"/>
      <c r="F131" s="42">
        <v>8.914937</v>
      </c>
      <c r="G131" s="42">
        <v>1.085063</v>
      </c>
      <c r="H131" s="34"/>
      <c r="I131" s="34"/>
      <c r="J131" s="34"/>
      <c r="K131" s="34"/>
      <c r="L131" s="34"/>
      <c r="O131" s="34"/>
      <c r="P131" s="34"/>
      <c r="Q131" s="34"/>
      <c r="R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O132" s="34"/>
      <c r="P132" s="34"/>
      <c r="Q132" s="34"/>
      <c r="R132" s="34"/>
    </row>
    <row r="133">
      <c r="A133" s="69" t="s">
        <v>50</v>
      </c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O133" s="34"/>
      <c r="P133" s="34"/>
      <c r="Q133" s="34"/>
      <c r="R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O134" s="34"/>
      <c r="P134" s="34"/>
      <c r="Q134" s="34"/>
      <c r="R134" s="34"/>
    </row>
    <row r="135">
      <c r="A135" s="35"/>
      <c r="B135" s="35" t="s">
        <v>19</v>
      </c>
      <c r="C135" s="35" t="s">
        <v>20</v>
      </c>
      <c r="D135" s="35" t="s">
        <v>21</v>
      </c>
      <c r="E135" s="35" t="s">
        <v>22</v>
      </c>
      <c r="F135" s="35" t="s">
        <v>23</v>
      </c>
      <c r="G135" s="35" t="s">
        <v>24</v>
      </c>
      <c r="H135" s="35" t="s">
        <v>25</v>
      </c>
      <c r="I135" s="35" t="s">
        <v>26</v>
      </c>
      <c r="J135" s="35" t="s">
        <v>27</v>
      </c>
      <c r="K135" s="34" t="s">
        <v>28</v>
      </c>
      <c r="L135" s="34"/>
      <c r="O135" s="34"/>
      <c r="P135" s="34"/>
      <c r="Q135" s="34"/>
      <c r="R135" s="34"/>
    </row>
    <row r="136">
      <c r="A136" s="38" t="s">
        <v>19</v>
      </c>
      <c r="B136" s="39">
        <v>0.872626</v>
      </c>
      <c r="C136" s="39">
        <v>-0.7623</v>
      </c>
      <c r="D136" s="39">
        <v>-0.64654</v>
      </c>
      <c r="E136" s="39">
        <v>-0.18384</v>
      </c>
      <c r="F136" s="39">
        <v>-0.13839</v>
      </c>
      <c r="G136" s="39">
        <v>0.012661</v>
      </c>
      <c r="H136" s="39">
        <v>0.164876</v>
      </c>
      <c r="I136" s="39">
        <v>-0.85673</v>
      </c>
      <c r="J136" s="40">
        <v>-0.87604</v>
      </c>
      <c r="K136" s="34">
        <v>0.779967</v>
      </c>
      <c r="L136" s="34"/>
      <c r="O136" s="34"/>
      <c r="P136" s="34"/>
      <c r="Q136" s="34"/>
      <c r="R136" s="34"/>
    </row>
    <row r="137">
      <c r="A137" s="41" t="s">
        <v>20</v>
      </c>
      <c r="B137" s="42">
        <v>-0.7623</v>
      </c>
      <c r="C137" s="42">
        <v>0.865654</v>
      </c>
      <c r="D137" s="42">
        <v>0.854943</v>
      </c>
      <c r="E137" s="42">
        <v>-0.06127</v>
      </c>
      <c r="F137" s="42">
        <v>-0.0944</v>
      </c>
      <c r="G137" s="42">
        <v>-0.29123</v>
      </c>
      <c r="H137" s="42">
        <v>-0.45099</v>
      </c>
      <c r="I137" s="42">
        <v>0.783581</v>
      </c>
      <c r="J137" s="43">
        <v>0.791643</v>
      </c>
      <c r="K137" s="34">
        <v>-0.53727</v>
      </c>
      <c r="L137" s="34"/>
      <c r="O137" s="34"/>
      <c r="P137" s="34"/>
      <c r="Q137" s="34"/>
      <c r="R137" s="34"/>
    </row>
    <row r="138">
      <c r="A138" s="41" t="s">
        <v>21</v>
      </c>
      <c r="B138" s="42">
        <v>-0.64654</v>
      </c>
      <c r="C138" s="42">
        <v>0.854943</v>
      </c>
      <c r="D138" s="42">
        <v>0.911816</v>
      </c>
      <c r="E138" s="42">
        <v>-0.09867</v>
      </c>
      <c r="F138" s="42">
        <v>-0.12066</v>
      </c>
      <c r="G138" s="42">
        <v>-0.4936</v>
      </c>
      <c r="H138" s="42">
        <v>-0.63231</v>
      </c>
      <c r="I138" s="42">
        <v>0.683997</v>
      </c>
      <c r="J138" s="43">
        <v>0.689823</v>
      </c>
      <c r="K138" s="34">
        <v>-0.35403</v>
      </c>
      <c r="L138" s="34"/>
      <c r="O138" s="34"/>
      <c r="P138" s="34"/>
      <c r="Q138" s="34"/>
      <c r="R138" s="34"/>
    </row>
    <row r="139">
      <c r="A139" s="41" t="s">
        <v>22</v>
      </c>
      <c r="B139" s="42">
        <v>-0.18384</v>
      </c>
      <c r="C139" s="42">
        <v>-0.06127</v>
      </c>
      <c r="D139" s="42">
        <v>-0.09867</v>
      </c>
      <c r="E139" s="42">
        <v>0.961353</v>
      </c>
      <c r="F139" s="42">
        <v>0.961</v>
      </c>
      <c r="G139" s="42">
        <v>-0.28877</v>
      </c>
      <c r="H139" s="42">
        <v>-0.19069</v>
      </c>
      <c r="I139" s="42">
        <v>0.127058</v>
      </c>
      <c r="J139" s="43">
        <v>0.174286</v>
      </c>
      <c r="K139" s="34">
        <v>-0.21185</v>
      </c>
      <c r="L139" s="34"/>
      <c r="O139" s="34"/>
      <c r="P139" s="34"/>
      <c r="Q139" s="34"/>
      <c r="R139" s="34"/>
    </row>
    <row r="140">
      <c r="A140" s="41" t="s">
        <v>23</v>
      </c>
      <c r="B140" s="42">
        <v>-0.13839</v>
      </c>
      <c r="C140" s="42">
        <v>-0.0944</v>
      </c>
      <c r="D140" s="42">
        <v>-0.12066</v>
      </c>
      <c r="E140" s="42">
        <v>0.961</v>
      </c>
      <c r="F140" s="42">
        <v>0.963635</v>
      </c>
      <c r="G140" s="42">
        <v>-0.31193</v>
      </c>
      <c r="H140" s="42">
        <v>-0.20434</v>
      </c>
      <c r="I140" s="42">
        <v>0.083245</v>
      </c>
      <c r="J140" s="43">
        <v>0.129993</v>
      </c>
      <c r="K140" s="34">
        <v>-0.16374</v>
      </c>
      <c r="L140" s="34"/>
      <c r="O140" s="34"/>
      <c r="P140" s="34"/>
      <c r="Q140" s="34"/>
      <c r="R140" s="34"/>
    </row>
    <row r="141">
      <c r="A141" s="41" t="s">
        <v>24</v>
      </c>
      <c r="B141" s="42">
        <v>0.012661</v>
      </c>
      <c r="C141" s="42">
        <v>-0.29123</v>
      </c>
      <c r="D141" s="42">
        <v>-0.4936</v>
      </c>
      <c r="E141" s="42">
        <v>-0.28877</v>
      </c>
      <c r="F141" s="42">
        <v>-0.31193</v>
      </c>
      <c r="G141" s="42">
        <v>0.920845</v>
      </c>
      <c r="H141" s="42">
        <v>0.871943</v>
      </c>
      <c r="I141" s="42">
        <v>-0.04908</v>
      </c>
      <c r="J141" s="43">
        <v>-0.06648</v>
      </c>
      <c r="K141" s="34">
        <v>-0.2902</v>
      </c>
      <c r="L141" s="34"/>
      <c r="O141" s="34"/>
      <c r="P141" s="34"/>
      <c r="Q141" s="34"/>
      <c r="R141" s="34"/>
    </row>
    <row r="142">
      <c r="A142" s="41" t="s">
        <v>25</v>
      </c>
      <c r="B142" s="42">
        <v>0.164876</v>
      </c>
      <c r="C142" s="42">
        <v>-0.45099</v>
      </c>
      <c r="D142" s="42">
        <v>-0.63231</v>
      </c>
      <c r="E142" s="42">
        <v>-0.19069</v>
      </c>
      <c r="F142" s="42">
        <v>-0.20434</v>
      </c>
      <c r="G142" s="42">
        <v>0.871943</v>
      </c>
      <c r="H142" s="42">
        <v>0.868092</v>
      </c>
      <c r="I142" s="42">
        <v>-0.20537</v>
      </c>
      <c r="J142" s="43">
        <v>-0.22001</v>
      </c>
      <c r="K142" s="34">
        <v>-0.15676</v>
      </c>
      <c r="L142" s="34"/>
      <c r="O142" s="34"/>
      <c r="P142" s="34"/>
      <c r="Q142" s="34"/>
      <c r="R142" s="34"/>
    </row>
    <row r="143">
      <c r="A143" s="41" t="s">
        <v>26</v>
      </c>
      <c r="B143" s="42">
        <v>-0.85673</v>
      </c>
      <c r="C143" s="42">
        <v>0.783581</v>
      </c>
      <c r="D143" s="42">
        <v>0.683997</v>
      </c>
      <c r="E143" s="42">
        <v>0.127058</v>
      </c>
      <c r="F143" s="42">
        <v>0.083245</v>
      </c>
      <c r="G143" s="42">
        <v>-0.04908</v>
      </c>
      <c r="H143" s="42">
        <v>-0.20537</v>
      </c>
      <c r="I143" s="42">
        <v>0.847616</v>
      </c>
      <c r="J143" s="43">
        <v>0.864318</v>
      </c>
      <c r="K143" s="34">
        <v>-0.74277</v>
      </c>
      <c r="L143" s="34"/>
      <c r="O143" s="34"/>
      <c r="P143" s="34"/>
      <c r="Q143" s="34"/>
      <c r="R143" s="34"/>
    </row>
    <row r="144">
      <c r="A144" s="41" t="s">
        <v>27</v>
      </c>
      <c r="B144" s="42">
        <v>-0.87604</v>
      </c>
      <c r="C144" s="42">
        <v>0.791643</v>
      </c>
      <c r="D144" s="42">
        <v>0.689823</v>
      </c>
      <c r="E144" s="42">
        <v>0.174286</v>
      </c>
      <c r="F144" s="42">
        <v>0.129993</v>
      </c>
      <c r="G144" s="42">
        <v>-0.06648</v>
      </c>
      <c r="H144" s="42">
        <v>-0.22001</v>
      </c>
      <c r="I144" s="42">
        <v>0.864318</v>
      </c>
      <c r="J144" s="43">
        <v>0.883482</v>
      </c>
      <c r="K144" s="34">
        <v>-0.76084</v>
      </c>
      <c r="L144" s="34"/>
      <c r="O144" s="34"/>
      <c r="P144" s="34"/>
      <c r="Q144" s="34"/>
      <c r="R144" s="34"/>
    </row>
    <row r="145">
      <c r="A145" s="44" t="s">
        <v>28</v>
      </c>
      <c r="B145" s="45">
        <v>0.779967</v>
      </c>
      <c r="C145" s="45">
        <v>-0.53727</v>
      </c>
      <c r="D145" s="45">
        <v>-0.35403</v>
      </c>
      <c r="E145" s="45">
        <v>-0.21185</v>
      </c>
      <c r="F145" s="45">
        <v>-0.16374</v>
      </c>
      <c r="G145" s="45">
        <v>-0.2902</v>
      </c>
      <c r="H145" s="45">
        <v>-0.15676</v>
      </c>
      <c r="I145" s="45">
        <v>-0.74277</v>
      </c>
      <c r="J145" s="46">
        <v>-0.76084</v>
      </c>
      <c r="K145" s="34">
        <v>0.819817</v>
      </c>
      <c r="L145" s="34"/>
      <c r="O145" s="34"/>
      <c r="P145" s="34"/>
      <c r="Q145" s="34"/>
      <c r="R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O146" s="34"/>
      <c r="P146" s="34"/>
      <c r="Q146" s="34"/>
      <c r="R146" s="34"/>
    </row>
    <row r="147">
      <c r="A147" s="69" t="s">
        <v>51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O147" s="34"/>
      <c r="P147" s="34"/>
      <c r="Q147" s="34"/>
      <c r="R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O148" s="34"/>
      <c r="P148" s="34"/>
      <c r="Q148" s="34"/>
      <c r="R148" s="34"/>
    </row>
    <row r="149">
      <c r="A149" s="35"/>
      <c r="B149" s="35" t="s">
        <v>19</v>
      </c>
      <c r="C149" s="35" t="s">
        <v>20</v>
      </c>
      <c r="D149" s="35" t="s">
        <v>21</v>
      </c>
      <c r="E149" s="35" t="s">
        <v>22</v>
      </c>
      <c r="F149" s="35" t="s">
        <v>23</v>
      </c>
      <c r="G149" s="35" t="s">
        <v>24</v>
      </c>
      <c r="H149" s="35" t="s">
        <v>25</v>
      </c>
      <c r="I149" s="35" t="s">
        <v>26</v>
      </c>
      <c r="J149" s="35" t="s">
        <v>27</v>
      </c>
      <c r="K149" s="34" t="s">
        <v>28</v>
      </c>
      <c r="L149" s="34"/>
      <c r="O149" s="34"/>
      <c r="P149" s="34"/>
      <c r="Q149" s="34"/>
      <c r="R149" s="34"/>
    </row>
    <row r="150">
      <c r="A150" s="38" t="s">
        <v>19</v>
      </c>
      <c r="B150" s="39">
        <v>0.127374</v>
      </c>
      <c r="C150" s="39">
        <v>0.030458</v>
      </c>
      <c r="D150" s="39">
        <v>0.018139</v>
      </c>
      <c r="E150" s="39">
        <v>0.016806</v>
      </c>
      <c r="F150" s="39">
        <v>0.001321</v>
      </c>
      <c r="G150" s="39">
        <v>0.012518</v>
      </c>
      <c r="H150" s="39">
        <v>0.006483</v>
      </c>
      <c r="I150" s="39">
        <v>0.040588</v>
      </c>
      <c r="J150" s="40">
        <v>0.021316</v>
      </c>
      <c r="K150" s="34">
        <v>-0.02655</v>
      </c>
      <c r="L150" s="34"/>
      <c r="O150" s="34"/>
      <c r="P150" s="34"/>
      <c r="Q150" s="34"/>
      <c r="R150" s="34"/>
    </row>
    <row r="151">
      <c r="A151" s="41" t="s">
        <v>20</v>
      </c>
      <c r="B151" s="42">
        <v>0.030458</v>
      </c>
      <c r="C151" s="42">
        <v>0.134346</v>
      </c>
      <c r="D151" s="42">
        <v>-0.02088</v>
      </c>
      <c r="E151" s="42">
        <v>0.017688</v>
      </c>
      <c r="F151" s="42">
        <v>0.016739</v>
      </c>
      <c r="G151" s="42">
        <v>0.003776</v>
      </c>
      <c r="H151" s="42">
        <v>0.043421</v>
      </c>
      <c r="I151" s="42">
        <v>-0.02805</v>
      </c>
      <c r="J151" s="43">
        <v>-0.02468</v>
      </c>
      <c r="K151" s="34">
        <v>0.01928</v>
      </c>
      <c r="L151" s="34"/>
      <c r="O151" s="34"/>
      <c r="P151" s="34"/>
      <c r="Q151" s="34"/>
      <c r="R151" s="34"/>
    </row>
    <row r="152">
      <c r="A152" s="41" t="s">
        <v>21</v>
      </c>
      <c r="B152" s="42">
        <v>0.018139</v>
      </c>
      <c r="C152" s="42">
        <v>-0.02088</v>
      </c>
      <c r="D152" s="42">
        <v>0.088184</v>
      </c>
      <c r="E152" s="42">
        <v>0.014805</v>
      </c>
      <c r="F152" s="42">
        <v>0.013184</v>
      </c>
      <c r="G152" s="42">
        <v>0.011172</v>
      </c>
      <c r="H152" s="42">
        <v>0.043538</v>
      </c>
      <c r="I152" s="42">
        <v>-0.01225</v>
      </c>
      <c r="J152" s="43">
        <v>-0.00309</v>
      </c>
      <c r="K152" s="34">
        <v>0.011904</v>
      </c>
      <c r="L152" s="34"/>
      <c r="O152" s="34"/>
      <c r="P152" s="34"/>
      <c r="Q152" s="34"/>
      <c r="R152" s="34"/>
    </row>
    <row r="153">
      <c r="A153" s="41" t="s">
        <v>22</v>
      </c>
      <c r="B153" s="42">
        <v>0.016806</v>
      </c>
      <c r="C153" s="42">
        <v>0.017688</v>
      </c>
      <c r="D153" s="42">
        <v>0.014805</v>
      </c>
      <c r="E153" s="42">
        <v>0.038647</v>
      </c>
      <c r="F153" s="42">
        <v>-0.02311</v>
      </c>
      <c r="G153" s="42">
        <v>0.010862</v>
      </c>
      <c r="H153" s="42">
        <v>0.014147</v>
      </c>
      <c r="I153" s="42">
        <v>0.00886</v>
      </c>
      <c r="J153" s="43">
        <v>-0.00198</v>
      </c>
      <c r="K153" s="34">
        <v>0.02011</v>
      </c>
      <c r="L153" s="34"/>
      <c r="O153" s="34"/>
      <c r="P153" s="34"/>
      <c r="Q153" s="34"/>
      <c r="R153" s="34"/>
    </row>
    <row r="154">
      <c r="A154" s="41" t="s">
        <v>23</v>
      </c>
      <c r="B154" s="42">
        <v>0.001321</v>
      </c>
      <c r="C154" s="42">
        <v>0.016739</v>
      </c>
      <c r="D154" s="42">
        <v>0.013184</v>
      </c>
      <c r="E154" s="42">
        <v>-0.02311</v>
      </c>
      <c r="F154" s="42">
        <v>0.036365</v>
      </c>
      <c r="G154" s="42">
        <v>0.009161</v>
      </c>
      <c r="H154" s="42">
        <v>0.015551</v>
      </c>
      <c r="I154" s="42">
        <v>-0.00579</v>
      </c>
      <c r="J154" s="43">
        <v>0.003326</v>
      </c>
      <c r="K154" s="34">
        <v>0.020752</v>
      </c>
      <c r="L154" s="34"/>
      <c r="O154" s="34"/>
      <c r="P154" s="34"/>
      <c r="Q154" s="34"/>
      <c r="R154" s="34"/>
    </row>
    <row r="155">
      <c r="A155" s="41" t="s">
        <v>24</v>
      </c>
      <c r="B155" s="42">
        <v>0.012518</v>
      </c>
      <c r="C155" s="42">
        <v>0.003776</v>
      </c>
      <c r="D155" s="42">
        <v>0.011172</v>
      </c>
      <c r="E155" s="42">
        <v>0.010862</v>
      </c>
      <c r="F155" s="42">
        <v>0.009161</v>
      </c>
      <c r="G155" s="42">
        <v>0.079155</v>
      </c>
      <c r="H155" s="42">
        <v>-0.0579</v>
      </c>
      <c r="I155" s="42">
        <v>-0.00311</v>
      </c>
      <c r="J155" s="43">
        <v>0.017874</v>
      </c>
      <c r="K155" s="34">
        <v>0.030744</v>
      </c>
      <c r="L155" s="34"/>
      <c r="O155" s="34"/>
      <c r="P155" s="34"/>
      <c r="Q155" s="34"/>
      <c r="R155" s="34"/>
    </row>
    <row r="156">
      <c r="A156" s="41" t="s">
        <v>25</v>
      </c>
      <c r="B156" s="42">
        <v>0.006483</v>
      </c>
      <c r="C156" s="42">
        <v>0.043421</v>
      </c>
      <c r="D156" s="42">
        <v>0.043538</v>
      </c>
      <c r="E156" s="42">
        <v>0.014147</v>
      </c>
      <c r="F156" s="42">
        <v>0.015551</v>
      </c>
      <c r="G156" s="42">
        <v>-0.0579</v>
      </c>
      <c r="H156" s="42">
        <v>0.131908</v>
      </c>
      <c r="I156" s="42">
        <v>0.013442</v>
      </c>
      <c r="J156" s="43">
        <v>-0.0022</v>
      </c>
      <c r="K156" s="34">
        <v>0.062716</v>
      </c>
      <c r="L156" s="34"/>
      <c r="O156" s="34"/>
      <c r="P156" s="34"/>
      <c r="Q156" s="34"/>
      <c r="R156" s="34"/>
    </row>
    <row r="157">
      <c r="A157" s="41" t="s">
        <v>26</v>
      </c>
      <c r="B157" s="42">
        <v>0.040588</v>
      </c>
      <c r="C157" s="42">
        <v>-0.02805</v>
      </c>
      <c r="D157" s="42">
        <v>-0.01225</v>
      </c>
      <c r="E157" s="42">
        <v>0.00886</v>
      </c>
      <c r="F157" s="42">
        <v>-0.00579</v>
      </c>
      <c r="G157" s="42">
        <v>-0.00311</v>
      </c>
      <c r="H157" s="42">
        <v>0.013442</v>
      </c>
      <c r="I157" s="42">
        <v>0.152384</v>
      </c>
      <c r="J157" s="43">
        <v>-0.022</v>
      </c>
      <c r="K157" s="34">
        <v>0.057959</v>
      </c>
      <c r="L157" s="34"/>
      <c r="O157" s="34"/>
      <c r="P157" s="34"/>
      <c r="Q157" s="34"/>
      <c r="R157" s="34"/>
    </row>
    <row r="158">
      <c r="A158" s="41" t="s">
        <v>27</v>
      </c>
      <c r="B158" s="42">
        <v>0.021316</v>
      </c>
      <c r="C158" s="42">
        <v>-0.02468</v>
      </c>
      <c r="D158" s="42">
        <v>-0.00309</v>
      </c>
      <c r="E158" s="42">
        <v>-0.00198</v>
      </c>
      <c r="F158" s="42">
        <v>0.003326</v>
      </c>
      <c r="G158" s="42">
        <v>0.017874</v>
      </c>
      <c r="H158" s="42">
        <v>-0.0022</v>
      </c>
      <c r="I158" s="42">
        <v>-0.022</v>
      </c>
      <c r="J158" s="43">
        <v>0.116518</v>
      </c>
      <c r="K158" s="34">
        <v>0.056478</v>
      </c>
      <c r="L158" s="34"/>
      <c r="O158" s="34"/>
      <c r="P158" s="34"/>
      <c r="Q158" s="34"/>
      <c r="R158" s="34"/>
    </row>
    <row r="159">
      <c r="A159" s="44" t="s">
        <v>28</v>
      </c>
      <c r="B159" s="45">
        <v>-0.02655</v>
      </c>
      <c r="C159" s="45">
        <v>0.01928</v>
      </c>
      <c r="D159" s="45">
        <v>0.011904</v>
      </c>
      <c r="E159" s="45">
        <v>0.02011</v>
      </c>
      <c r="F159" s="45">
        <v>0.020752</v>
      </c>
      <c r="G159" s="45">
        <v>0.030744</v>
      </c>
      <c r="H159" s="45">
        <v>0.062716</v>
      </c>
      <c r="I159" s="45">
        <v>0.057959</v>
      </c>
      <c r="J159" s="46">
        <v>0.056478</v>
      </c>
      <c r="K159" s="34">
        <v>0.180183</v>
      </c>
      <c r="L159" s="34"/>
      <c r="O159" s="34"/>
      <c r="P159" s="34"/>
      <c r="Q159" s="34"/>
      <c r="R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O160" s="34"/>
      <c r="P160" s="34"/>
      <c r="Q160" s="34"/>
      <c r="R160" s="34"/>
    </row>
    <row r="161">
      <c r="A161" s="69" t="s">
        <v>52</v>
      </c>
      <c r="D161" s="34"/>
      <c r="E161" s="34"/>
      <c r="F161" s="34"/>
      <c r="G161" s="34"/>
      <c r="H161" s="34"/>
      <c r="I161" s="34"/>
      <c r="J161" s="34"/>
      <c r="K161" s="34"/>
      <c r="L161" s="34"/>
      <c r="O161" s="34"/>
      <c r="P161" s="34"/>
      <c r="Q161" s="34"/>
      <c r="R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O162" s="34"/>
      <c r="P162" s="34"/>
      <c r="Q162" s="34"/>
      <c r="R162" s="34"/>
    </row>
    <row r="163">
      <c r="A163" s="42"/>
      <c r="B163" s="42">
        <v>1.0</v>
      </c>
      <c r="C163" s="42">
        <v>2.0</v>
      </c>
      <c r="D163" s="42">
        <v>3.0</v>
      </c>
      <c r="E163" s="34"/>
      <c r="F163" s="34"/>
      <c r="G163" s="34"/>
      <c r="H163" s="34"/>
      <c r="I163" s="34"/>
      <c r="J163" s="34"/>
      <c r="K163" s="34"/>
      <c r="L163" s="34"/>
      <c r="O163" s="34"/>
      <c r="P163" s="34"/>
      <c r="Q163" s="34"/>
      <c r="R163" s="34"/>
    </row>
    <row r="164">
      <c r="A164" s="38" t="s">
        <v>19</v>
      </c>
      <c r="B164" s="39">
        <v>-0.21762</v>
      </c>
      <c r="C164" s="39">
        <v>-0.05972</v>
      </c>
      <c r="D164" s="40">
        <v>-0.03805</v>
      </c>
      <c r="E164" s="34"/>
      <c r="F164" s="34"/>
      <c r="G164" s="34"/>
      <c r="H164" s="34"/>
      <c r="I164" s="34"/>
      <c r="J164" s="34"/>
      <c r="K164" s="34"/>
      <c r="L164" s="34"/>
      <c r="O164" s="34"/>
      <c r="P164" s="34"/>
      <c r="Q164" s="34"/>
      <c r="R164" s="34"/>
    </row>
    <row r="165">
      <c r="A165" s="41" t="s">
        <v>20</v>
      </c>
      <c r="B165" s="42">
        <v>0.16812</v>
      </c>
      <c r="C165" s="42">
        <v>-0.12115</v>
      </c>
      <c r="D165" s="43">
        <v>-0.11276</v>
      </c>
      <c r="E165" s="34"/>
      <c r="F165" s="34"/>
      <c r="G165" s="34"/>
      <c r="H165" s="34"/>
      <c r="I165" s="34"/>
      <c r="J165" s="34"/>
      <c r="K165" s="34"/>
      <c r="L165" s="34"/>
      <c r="O165" s="34"/>
      <c r="P165" s="34"/>
      <c r="Q165" s="34"/>
      <c r="R165" s="34"/>
    </row>
    <row r="166">
      <c r="A166" s="41" t="s">
        <v>21</v>
      </c>
      <c r="B166" s="42">
        <v>0.120421</v>
      </c>
      <c r="C166" s="42">
        <v>-0.23277</v>
      </c>
      <c r="D166" s="43">
        <v>-0.14528</v>
      </c>
      <c r="E166" s="34"/>
      <c r="F166" s="34"/>
      <c r="G166" s="34"/>
      <c r="H166" s="34"/>
      <c r="I166" s="34"/>
      <c r="J166" s="34"/>
      <c r="K166" s="34"/>
      <c r="L166" s="34"/>
      <c r="O166" s="34"/>
      <c r="P166" s="34"/>
      <c r="Q166" s="34"/>
      <c r="R166" s="34"/>
    </row>
    <row r="167">
      <c r="A167" s="41" t="s">
        <v>22</v>
      </c>
      <c r="B167" s="42">
        <v>0.001611</v>
      </c>
      <c r="C167" s="42">
        <v>0.009807</v>
      </c>
      <c r="D167" s="43">
        <v>0.468906</v>
      </c>
      <c r="E167" s="34"/>
      <c r="F167" s="34"/>
      <c r="G167" s="34"/>
      <c r="H167" s="34"/>
      <c r="I167" s="34"/>
      <c r="J167" s="34"/>
      <c r="K167" s="34"/>
      <c r="L167" s="34"/>
      <c r="O167" s="34"/>
      <c r="P167" s="34"/>
      <c r="Q167" s="34"/>
      <c r="R167" s="34"/>
    </row>
    <row r="168">
      <c r="A168" s="41" t="s">
        <v>23</v>
      </c>
      <c r="B168" s="42">
        <v>-0.01212</v>
      </c>
      <c r="C168" s="42">
        <v>-0.00378</v>
      </c>
      <c r="D168" s="43">
        <v>0.46942</v>
      </c>
      <c r="E168" s="34"/>
      <c r="F168" s="34"/>
      <c r="G168" s="34"/>
      <c r="H168" s="34"/>
      <c r="I168" s="34"/>
      <c r="J168" s="34"/>
      <c r="K168" s="34"/>
      <c r="L168" s="34"/>
      <c r="O168" s="34"/>
      <c r="P168" s="34"/>
      <c r="Q168" s="34"/>
      <c r="R168" s="34"/>
    </row>
    <row r="169">
      <c r="A169" s="41" t="s">
        <v>24</v>
      </c>
      <c r="B169" s="42">
        <v>0.088343</v>
      </c>
      <c r="C169" s="42">
        <v>0.414769</v>
      </c>
      <c r="D169" s="43">
        <v>-0.05963</v>
      </c>
      <c r="E169" s="34"/>
      <c r="F169" s="34"/>
      <c r="G169" s="34"/>
      <c r="H169" s="34"/>
      <c r="I169" s="34"/>
      <c r="J169" s="34"/>
      <c r="K169" s="34"/>
      <c r="L169" s="34"/>
      <c r="O169" s="34"/>
      <c r="P169" s="34"/>
      <c r="Q169" s="34"/>
      <c r="R169" s="34"/>
    </row>
    <row r="170">
      <c r="A170" s="41" t="s">
        <v>25</v>
      </c>
      <c r="B170" s="42">
        <v>0.043136</v>
      </c>
      <c r="C170" s="42">
        <v>0.398601</v>
      </c>
      <c r="D170" s="43">
        <v>-0.00234</v>
      </c>
      <c r="E170" s="34"/>
      <c r="F170" s="34"/>
      <c r="G170" s="34"/>
      <c r="H170" s="34"/>
      <c r="I170" s="34"/>
      <c r="J170" s="34"/>
      <c r="K170" s="34"/>
      <c r="L170" s="34"/>
      <c r="O170" s="34"/>
      <c r="P170" s="34"/>
      <c r="Q170" s="34"/>
      <c r="R170" s="34"/>
    </row>
    <row r="171">
      <c r="A171" s="41" t="s">
        <v>26</v>
      </c>
      <c r="B171" s="42">
        <v>0.211245</v>
      </c>
      <c r="C171" s="42">
        <v>0.032261</v>
      </c>
      <c r="D171" s="43">
        <v>0.005304</v>
      </c>
      <c r="E171" s="34"/>
      <c r="F171" s="34"/>
      <c r="G171" s="34"/>
      <c r="H171" s="34"/>
      <c r="I171" s="34"/>
      <c r="J171" s="34"/>
      <c r="K171" s="34"/>
      <c r="L171" s="34"/>
      <c r="O171" s="34"/>
      <c r="P171" s="34"/>
      <c r="Q171" s="34"/>
      <c r="R171" s="34"/>
    </row>
    <row r="172">
      <c r="A172" s="41" t="s">
        <v>27</v>
      </c>
      <c r="B172" s="42">
        <v>0.213643</v>
      </c>
      <c r="C172" s="42">
        <v>0.031589</v>
      </c>
      <c r="D172" s="43">
        <v>0.027329</v>
      </c>
      <c r="E172" s="34"/>
      <c r="F172" s="34"/>
      <c r="G172" s="34"/>
      <c r="H172" s="34"/>
      <c r="I172" s="34"/>
      <c r="J172" s="34"/>
      <c r="K172" s="34"/>
      <c r="L172" s="34"/>
      <c r="O172" s="34"/>
      <c r="P172" s="34"/>
      <c r="Q172" s="34"/>
      <c r="R172" s="34"/>
    </row>
    <row r="173">
      <c r="A173" s="44" t="s">
        <v>28</v>
      </c>
      <c r="B173" s="45">
        <v>-0.22181</v>
      </c>
      <c r="C173" s="45">
        <v>-0.21091</v>
      </c>
      <c r="D173" s="46">
        <v>-0.08963</v>
      </c>
      <c r="E173" s="34"/>
      <c r="F173" s="34"/>
      <c r="G173" s="34"/>
      <c r="H173" s="34"/>
      <c r="I173" s="34"/>
      <c r="J173" s="34"/>
      <c r="K173" s="34"/>
      <c r="L173" s="34"/>
      <c r="O173" s="34"/>
      <c r="P173" s="34"/>
      <c r="Q173" s="34"/>
      <c r="R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O174" s="34"/>
      <c r="P174" s="34"/>
      <c r="Q174" s="34"/>
      <c r="R174" s="34"/>
    </row>
    <row r="175">
      <c r="A175" s="69" t="s">
        <v>53</v>
      </c>
      <c r="D175" s="34"/>
      <c r="E175" s="34"/>
      <c r="F175" s="34"/>
      <c r="G175" s="34"/>
      <c r="H175" s="34"/>
      <c r="I175" s="34"/>
      <c r="J175" s="34"/>
      <c r="K175" s="34"/>
      <c r="L175" s="34"/>
      <c r="O175" s="34"/>
      <c r="P175" s="34"/>
      <c r="Q175" s="34"/>
      <c r="R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O176" s="34"/>
      <c r="P176" s="34"/>
      <c r="Q176" s="34"/>
      <c r="R176" s="34"/>
    </row>
    <row r="177">
      <c r="A177" s="42"/>
      <c r="B177" s="42">
        <v>1.0</v>
      </c>
      <c r="C177" s="42">
        <v>2.0</v>
      </c>
      <c r="D177" s="42">
        <v>3.0</v>
      </c>
      <c r="E177" s="34"/>
      <c r="F177" s="34"/>
      <c r="G177" s="34"/>
      <c r="H177" s="34"/>
      <c r="I177" s="34"/>
      <c r="J177" s="34"/>
      <c r="K177" s="34"/>
      <c r="L177" s="34"/>
      <c r="O177" s="34"/>
      <c r="P177" s="34"/>
      <c r="Q177" s="34"/>
      <c r="R177" s="34"/>
    </row>
    <row r="178">
      <c r="A178" s="38" t="s">
        <v>19</v>
      </c>
      <c r="B178" s="39">
        <v>-0.22603</v>
      </c>
      <c r="C178" s="39">
        <v>-0.06609</v>
      </c>
      <c r="D178" s="40">
        <v>-0.0119</v>
      </c>
      <c r="E178" s="34"/>
      <c r="F178" s="34"/>
      <c r="G178" s="34"/>
      <c r="H178" s="34"/>
      <c r="I178" s="34"/>
      <c r="J178" s="34"/>
      <c r="K178" s="34"/>
      <c r="L178" s="34"/>
      <c r="O178" s="34"/>
      <c r="P178" s="34"/>
      <c r="Q178" s="34"/>
      <c r="R178" s="34"/>
    </row>
    <row r="179">
      <c r="A179" s="41" t="s">
        <v>20</v>
      </c>
      <c r="B179" s="42">
        <v>0.162951</v>
      </c>
      <c r="C179" s="42">
        <v>-0.07831</v>
      </c>
      <c r="D179" s="43">
        <v>-0.04282</v>
      </c>
      <c r="E179" s="34"/>
      <c r="F179" s="34"/>
      <c r="G179" s="34"/>
      <c r="H179" s="34"/>
      <c r="I179" s="34"/>
      <c r="J179" s="34"/>
      <c r="K179" s="34"/>
      <c r="L179" s="34"/>
      <c r="O179" s="34"/>
      <c r="P179" s="34"/>
      <c r="Q179" s="34"/>
      <c r="R179" s="34"/>
    </row>
    <row r="180">
      <c r="A180" s="41" t="s">
        <v>21</v>
      </c>
      <c r="B180" s="42">
        <v>0.175985</v>
      </c>
      <c r="C180" s="42">
        <v>-0.25321</v>
      </c>
      <c r="D180" s="43">
        <v>-0.08841</v>
      </c>
      <c r="E180" s="34"/>
      <c r="F180" s="34"/>
      <c r="G180" s="34"/>
      <c r="H180" s="34"/>
      <c r="I180" s="34"/>
      <c r="J180" s="34"/>
      <c r="K180" s="34"/>
      <c r="L180" s="34"/>
      <c r="O180" s="34"/>
      <c r="P180" s="34"/>
      <c r="Q180" s="34"/>
      <c r="R180" s="34"/>
    </row>
    <row r="181">
      <c r="A181" s="41" t="s">
        <v>22</v>
      </c>
      <c r="B181" s="42">
        <v>0.034721</v>
      </c>
      <c r="C181" s="42">
        <v>0.039166</v>
      </c>
      <c r="D181" s="43">
        <v>0.483998</v>
      </c>
      <c r="E181" s="34"/>
      <c r="F181" s="34"/>
      <c r="G181" s="34"/>
      <c r="H181" s="34"/>
      <c r="I181" s="34"/>
      <c r="J181" s="34"/>
      <c r="K181" s="34"/>
      <c r="L181" s="34"/>
      <c r="O181" s="34"/>
      <c r="P181" s="34"/>
      <c r="Q181" s="34"/>
      <c r="R181" s="34"/>
    </row>
    <row r="182">
      <c r="A182" s="41" t="s">
        <v>23</v>
      </c>
      <c r="B182" s="42">
        <v>-0.01289</v>
      </c>
      <c r="C182" s="42">
        <v>-1.2E-4</v>
      </c>
      <c r="D182" s="43">
        <v>0.512866</v>
      </c>
      <c r="E182" s="34"/>
      <c r="F182" s="34"/>
      <c r="G182" s="34"/>
      <c r="H182" s="34"/>
      <c r="I182" s="34"/>
      <c r="J182" s="34"/>
      <c r="K182" s="34"/>
      <c r="L182" s="34"/>
      <c r="O182" s="34"/>
      <c r="P182" s="34"/>
      <c r="Q182" s="34"/>
      <c r="R182" s="34"/>
    </row>
    <row r="183">
      <c r="A183" s="41" t="s">
        <v>24</v>
      </c>
      <c r="B183" s="42">
        <v>0.145578</v>
      </c>
      <c r="C183" s="42">
        <v>0.5397</v>
      </c>
      <c r="D183" s="43">
        <v>0.007671</v>
      </c>
      <c r="E183" s="34"/>
      <c r="F183" s="34"/>
      <c r="G183" s="34"/>
      <c r="H183" s="34"/>
      <c r="I183" s="34"/>
      <c r="J183" s="34"/>
      <c r="K183" s="34"/>
      <c r="L183" s="34"/>
      <c r="O183" s="34"/>
      <c r="P183" s="34"/>
      <c r="Q183" s="34"/>
      <c r="R183" s="34"/>
    </row>
    <row r="184">
      <c r="A184" s="41" t="s">
        <v>25</v>
      </c>
      <c r="B184" s="42">
        <v>0.043208</v>
      </c>
      <c r="C184" s="42">
        <v>0.308262</v>
      </c>
      <c r="D184" s="43">
        <v>0.02164</v>
      </c>
      <c r="E184" s="34"/>
      <c r="F184" s="34"/>
      <c r="G184" s="34"/>
      <c r="H184" s="34"/>
      <c r="I184" s="34"/>
      <c r="J184" s="34"/>
      <c r="K184" s="34"/>
      <c r="L184" s="34"/>
      <c r="O184" s="34"/>
      <c r="P184" s="34"/>
      <c r="Q184" s="34"/>
      <c r="R184" s="34"/>
    </row>
    <row r="185">
      <c r="A185" s="41" t="s">
        <v>26</v>
      </c>
      <c r="B185" s="42">
        <v>0.182889</v>
      </c>
      <c r="C185" s="42">
        <v>0.036385</v>
      </c>
      <c r="D185" s="43">
        <v>1.24E-4</v>
      </c>
      <c r="E185" s="34"/>
      <c r="F185" s="34"/>
      <c r="G185" s="34"/>
      <c r="H185" s="34"/>
      <c r="I185" s="34"/>
      <c r="J185" s="34"/>
      <c r="K185" s="34"/>
      <c r="L185" s="34"/>
      <c r="O185" s="34"/>
      <c r="P185" s="34"/>
      <c r="Q185" s="34"/>
      <c r="R185" s="34"/>
    </row>
    <row r="186">
      <c r="A186" s="41" t="s">
        <v>27</v>
      </c>
      <c r="B186" s="42">
        <v>0.242353</v>
      </c>
      <c r="C186" s="42">
        <v>0.04743</v>
      </c>
      <c r="D186" s="43">
        <v>0.007588</v>
      </c>
      <c r="E186" s="34"/>
      <c r="F186" s="34"/>
      <c r="G186" s="34"/>
      <c r="H186" s="34"/>
      <c r="I186" s="34"/>
      <c r="J186" s="34"/>
      <c r="K186" s="34"/>
      <c r="L186" s="34"/>
      <c r="O186" s="34"/>
      <c r="P186" s="34"/>
      <c r="Q186" s="34"/>
      <c r="R186" s="34"/>
    </row>
    <row r="187">
      <c r="A187" s="44" t="s">
        <v>28</v>
      </c>
      <c r="B187" s="45">
        <v>-0.16357</v>
      </c>
      <c r="C187" s="45">
        <v>-0.1319</v>
      </c>
      <c r="D187" s="46">
        <v>-0.02613</v>
      </c>
      <c r="E187" s="34"/>
      <c r="F187" s="34"/>
      <c r="G187" s="34"/>
      <c r="H187" s="34"/>
      <c r="I187" s="34"/>
      <c r="J187" s="34"/>
      <c r="K187" s="34"/>
      <c r="L187" s="34"/>
      <c r="O187" s="34"/>
      <c r="P187" s="34"/>
      <c r="Q187" s="34"/>
      <c r="R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O188" s="34"/>
      <c r="P188" s="34"/>
      <c r="Q188" s="34"/>
      <c r="R188" s="34"/>
    </row>
    <row r="189">
      <c r="A189" s="69" t="s">
        <v>54</v>
      </c>
      <c r="E189" s="34"/>
      <c r="F189" s="34"/>
      <c r="G189" s="34"/>
      <c r="H189" s="34"/>
      <c r="I189" s="34"/>
      <c r="J189" s="34"/>
      <c r="K189" s="34"/>
      <c r="L189" s="34"/>
      <c r="O189" s="34"/>
      <c r="P189" s="34"/>
      <c r="Q189" s="34"/>
      <c r="R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O190" s="34"/>
      <c r="P190" s="34"/>
      <c r="Q190" s="34"/>
      <c r="R190" s="34"/>
    </row>
    <row r="191">
      <c r="A191" s="38"/>
      <c r="B191" s="39">
        <v>1262.473</v>
      </c>
      <c r="C191" s="39">
        <v>-494.787</v>
      </c>
      <c r="D191" s="40">
        <v>292.321</v>
      </c>
      <c r="E191" s="34"/>
      <c r="F191" s="34"/>
      <c r="G191" s="34"/>
      <c r="H191" s="34"/>
      <c r="I191" s="34"/>
      <c r="J191" s="34"/>
      <c r="K191" s="34"/>
      <c r="L191" s="34"/>
      <c r="O191" s="34"/>
      <c r="P191" s="34"/>
      <c r="Q191" s="34"/>
      <c r="R191" s="34"/>
    </row>
    <row r="192">
      <c r="A192" s="41"/>
      <c r="B192" s="42">
        <v>-494.787</v>
      </c>
      <c r="C192" s="42">
        <v>693.6168</v>
      </c>
      <c r="D192" s="43">
        <v>-512.94</v>
      </c>
      <c r="E192" s="34"/>
      <c r="F192" s="34"/>
      <c r="G192" s="34"/>
      <c r="H192" s="34"/>
      <c r="I192" s="34"/>
      <c r="J192" s="34"/>
      <c r="K192" s="34"/>
      <c r="L192" s="34"/>
      <c r="O192" s="34"/>
      <c r="P192" s="34"/>
      <c r="Q192" s="34"/>
      <c r="R192" s="34"/>
    </row>
    <row r="193">
      <c r="A193" s="41"/>
      <c r="B193" s="42">
        <v>292.321</v>
      </c>
      <c r="C193" s="42">
        <v>-512.94</v>
      </c>
      <c r="D193" s="43">
        <v>2792.883</v>
      </c>
      <c r="E193" s="34"/>
      <c r="F193" s="34"/>
      <c r="G193" s="34"/>
      <c r="H193" s="34"/>
      <c r="I193" s="34"/>
      <c r="J193" s="34"/>
      <c r="K193" s="34"/>
      <c r="L193" s="34"/>
      <c r="O193" s="34"/>
      <c r="P193" s="34"/>
      <c r="Q193" s="34"/>
      <c r="R193" s="34"/>
    </row>
    <row r="194">
      <c r="A194" s="44"/>
      <c r="B194" s="45"/>
      <c r="C194" s="45"/>
      <c r="D194" s="46"/>
      <c r="E194" s="34"/>
      <c r="F194" s="34"/>
      <c r="G194" s="34"/>
      <c r="H194" s="34"/>
      <c r="I194" s="34"/>
      <c r="J194" s="34"/>
      <c r="K194" s="34"/>
      <c r="L194" s="34"/>
      <c r="O194" s="34"/>
      <c r="P194" s="34"/>
      <c r="Q194" s="34"/>
      <c r="R194" s="34"/>
    </row>
    <row r="195">
      <c r="A195" s="34"/>
      <c r="B195" s="34">
        <v>1.0</v>
      </c>
      <c r="C195" s="34">
        <v>2.0</v>
      </c>
      <c r="D195" s="34">
        <v>3.0</v>
      </c>
      <c r="E195" s="34"/>
      <c r="F195" s="34"/>
      <c r="G195" s="34"/>
      <c r="H195" s="34"/>
      <c r="I195" s="34"/>
      <c r="J195" s="34"/>
      <c r="K195" s="34"/>
      <c r="L195" s="34"/>
      <c r="O195" s="34"/>
      <c r="P195" s="34"/>
      <c r="Q195" s="34"/>
      <c r="R195" s="34"/>
    </row>
    <row r="196">
      <c r="A196" s="42" t="s">
        <v>19</v>
      </c>
      <c r="B196" s="42">
        <v>-0.22573</v>
      </c>
      <c r="C196" s="42">
        <v>-0.06568</v>
      </c>
      <c r="D196" s="42">
        <v>-0.0117</v>
      </c>
      <c r="E196" s="34"/>
      <c r="F196" s="34"/>
      <c r="G196" s="34"/>
      <c r="H196" s="34"/>
      <c r="I196" s="34"/>
      <c r="J196" s="34"/>
      <c r="K196" s="34"/>
      <c r="L196" s="34"/>
      <c r="O196" s="34"/>
      <c r="P196" s="34"/>
      <c r="Q196" s="34"/>
      <c r="R196" s="34"/>
    </row>
    <row r="197">
      <c r="A197" s="38" t="s">
        <v>20</v>
      </c>
      <c r="B197" s="39">
        <v>0.162903</v>
      </c>
      <c r="C197" s="39">
        <v>-0.07822</v>
      </c>
      <c r="D197" s="40">
        <v>-0.04281</v>
      </c>
      <c r="E197" s="34"/>
      <c r="F197" s="34"/>
      <c r="G197" s="34"/>
      <c r="H197" s="34"/>
      <c r="I197" s="34"/>
      <c r="J197" s="34"/>
      <c r="K197" s="34"/>
      <c r="L197" s="34"/>
      <c r="O197" s="34"/>
      <c r="P197" s="34"/>
      <c r="Q197" s="34"/>
      <c r="R197" s="34"/>
    </row>
    <row r="198">
      <c r="A198" s="41" t="s">
        <v>21</v>
      </c>
      <c r="B198" s="42">
        <v>0.17613</v>
      </c>
      <c r="C198" s="42">
        <v>-0.25263</v>
      </c>
      <c r="D198" s="43">
        <v>-0.08824</v>
      </c>
      <c r="E198" s="34"/>
      <c r="F198" s="34"/>
      <c r="G198" s="34"/>
      <c r="H198" s="34"/>
      <c r="I198" s="34"/>
      <c r="J198" s="34"/>
      <c r="K198" s="34"/>
      <c r="L198" s="34"/>
      <c r="O198" s="34"/>
      <c r="P198" s="34"/>
      <c r="Q198" s="34"/>
      <c r="R198" s="34"/>
    </row>
    <row r="199">
      <c r="A199" s="41" t="s">
        <v>22</v>
      </c>
      <c r="B199" s="42">
        <v>0.034115</v>
      </c>
      <c r="C199" s="42">
        <v>0.03838</v>
      </c>
      <c r="D199" s="43">
        <v>0.483108</v>
      </c>
      <c r="E199" s="34"/>
      <c r="F199" s="34"/>
      <c r="G199" s="34"/>
      <c r="H199" s="34"/>
      <c r="I199" s="34"/>
      <c r="J199" s="34"/>
      <c r="K199" s="34"/>
      <c r="L199" s="34"/>
      <c r="O199" s="34"/>
      <c r="P199" s="34"/>
      <c r="Q199" s="34"/>
      <c r="R199" s="34"/>
    </row>
    <row r="200">
      <c r="A200" s="41" t="s">
        <v>23</v>
      </c>
      <c r="B200" s="42">
        <v>-0.01344</v>
      </c>
      <c r="C200" s="42">
        <v>-8.0E-4</v>
      </c>
      <c r="D200" s="43">
        <v>0.511978</v>
      </c>
      <c r="E200" s="34"/>
      <c r="F200" s="34"/>
      <c r="G200" s="34"/>
      <c r="H200" s="34"/>
      <c r="I200" s="34"/>
      <c r="J200" s="34"/>
      <c r="K200" s="34"/>
      <c r="L200" s="34"/>
      <c r="O200" s="34"/>
      <c r="P200" s="34"/>
      <c r="Q200" s="34"/>
      <c r="R200" s="34"/>
    </row>
    <row r="201">
      <c r="A201" s="41" t="s">
        <v>24</v>
      </c>
      <c r="B201" s="42">
        <v>0.14494</v>
      </c>
      <c r="C201" s="42">
        <v>0.538182</v>
      </c>
      <c r="D201" s="43">
        <v>0.007289</v>
      </c>
      <c r="E201" s="34"/>
      <c r="F201" s="34"/>
      <c r="G201" s="34"/>
      <c r="H201" s="34"/>
      <c r="I201" s="34"/>
      <c r="J201" s="34"/>
      <c r="K201" s="34"/>
      <c r="L201" s="34"/>
      <c r="O201" s="34"/>
      <c r="P201" s="34"/>
      <c r="Q201" s="34"/>
      <c r="R201" s="34"/>
    </row>
    <row r="202">
      <c r="A202" s="41" t="s">
        <v>25</v>
      </c>
      <c r="B202" s="42">
        <v>0.042865</v>
      </c>
      <c r="C202" s="42">
        <v>0.307412</v>
      </c>
      <c r="D202" s="43">
        <v>0.021419</v>
      </c>
      <c r="E202" s="34"/>
      <c r="F202" s="34"/>
      <c r="G202" s="34"/>
      <c r="H202" s="34"/>
      <c r="I202" s="34"/>
      <c r="J202" s="34"/>
      <c r="K202" s="34"/>
      <c r="L202" s="34"/>
      <c r="O202" s="34"/>
      <c r="P202" s="34"/>
      <c r="Q202" s="34"/>
      <c r="R202" s="34"/>
    </row>
    <row r="203">
      <c r="A203" s="41" t="s">
        <v>26</v>
      </c>
      <c r="B203" s="42">
        <v>0.18267</v>
      </c>
      <c r="C203" s="42">
        <v>0.036109</v>
      </c>
      <c r="D203" s="43">
        <v>-1.8E-5</v>
      </c>
      <c r="E203" s="34"/>
      <c r="F203" s="34"/>
      <c r="G203" s="34"/>
      <c r="H203" s="34"/>
      <c r="I203" s="34"/>
      <c r="J203" s="34"/>
      <c r="K203" s="34"/>
      <c r="L203" s="34"/>
      <c r="O203" s="34"/>
      <c r="P203" s="34"/>
      <c r="Q203" s="34"/>
      <c r="R203" s="34"/>
    </row>
    <row r="204">
      <c r="A204" s="41" t="s">
        <v>27</v>
      </c>
      <c r="B204" s="42">
        <v>0.242056</v>
      </c>
      <c r="C204" s="42">
        <v>0.047057</v>
      </c>
      <c r="D204" s="43">
        <v>0.007386</v>
      </c>
      <c r="E204" s="34"/>
      <c r="F204" s="34"/>
      <c r="G204" s="34"/>
      <c r="H204" s="34"/>
      <c r="I204" s="34"/>
      <c r="J204" s="34"/>
      <c r="K204" s="34"/>
      <c r="L204" s="34"/>
      <c r="O204" s="34"/>
      <c r="P204" s="34"/>
      <c r="Q204" s="34"/>
      <c r="R204" s="34"/>
    </row>
    <row r="205">
      <c r="A205" s="41" t="s">
        <v>28</v>
      </c>
      <c r="B205" s="42">
        <v>-0.16326</v>
      </c>
      <c r="C205" s="42">
        <v>-0.13137</v>
      </c>
      <c r="D205" s="43">
        <v>-0.02591</v>
      </c>
      <c r="E205" s="34"/>
      <c r="F205" s="34"/>
      <c r="G205" s="34"/>
      <c r="H205" s="34"/>
      <c r="I205" s="34"/>
      <c r="J205" s="34"/>
      <c r="K205" s="34"/>
      <c r="L205" s="34"/>
      <c r="O205" s="34"/>
      <c r="P205" s="34"/>
      <c r="Q205" s="34"/>
      <c r="R205" s="34"/>
    </row>
    <row r="206">
      <c r="A206" s="44"/>
      <c r="B206" s="45"/>
      <c r="C206" s="45"/>
      <c r="D206" s="46"/>
      <c r="E206" s="34"/>
      <c r="F206" s="34"/>
      <c r="G206" s="34"/>
      <c r="H206" s="34"/>
      <c r="I206" s="34"/>
      <c r="J206" s="34"/>
      <c r="K206" s="34"/>
      <c r="L206" s="34"/>
      <c r="O206" s="34"/>
      <c r="P206" s="34"/>
      <c r="Q206" s="34"/>
      <c r="R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O207" s="34"/>
      <c r="P207" s="34"/>
      <c r="Q207" s="34"/>
      <c r="R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O208" s="34"/>
      <c r="P208" s="34"/>
      <c r="Q208" s="34"/>
      <c r="R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O209" s="34"/>
      <c r="P209" s="34"/>
      <c r="Q209" s="34"/>
      <c r="R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O210" s="34"/>
      <c r="P210" s="34"/>
      <c r="Q210" s="34"/>
      <c r="R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O211" s="34"/>
      <c r="P211" s="34"/>
      <c r="Q211" s="34"/>
      <c r="R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O212" s="34"/>
      <c r="P212" s="34"/>
      <c r="Q212" s="34"/>
      <c r="R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O213" s="34"/>
      <c r="P213" s="34"/>
      <c r="Q213" s="34"/>
      <c r="R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O214" s="34"/>
      <c r="P214" s="34"/>
      <c r="Q214" s="34"/>
      <c r="R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O215" s="34"/>
      <c r="P215" s="34"/>
      <c r="Q215" s="34"/>
      <c r="R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O216" s="34"/>
      <c r="P216" s="34"/>
      <c r="Q216" s="34"/>
      <c r="R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O217" s="34"/>
      <c r="P217" s="34"/>
      <c r="Q217" s="34"/>
      <c r="R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O218" s="34"/>
      <c r="P218" s="34"/>
      <c r="Q218" s="34"/>
      <c r="R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O219" s="34"/>
      <c r="P219" s="34"/>
      <c r="Q219" s="34"/>
      <c r="R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O220" s="34"/>
      <c r="P220" s="34"/>
      <c r="Q220" s="34"/>
      <c r="R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O221" s="34"/>
      <c r="P221" s="34"/>
      <c r="Q221" s="34"/>
      <c r="R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O222" s="34"/>
      <c r="P222" s="34"/>
      <c r="Q222" s="34"/>
      <c r="R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O223" s="34"/>
      <c r="P223" s="34"/>
      <c r="Q223" s="34"/>
      <c r="R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O224" s="34"/>
      <c r="P224" s="34"/>
      <c r="Q224" s="34"/>
      <c r="R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O225" s="34"/>
      <c r="P225" s="34"/>
      <c r="Q225" s="34"/>
      <c r="R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O226" s="34"/>
      <c r="P226" s="34"/>
      <c r="Q226" s="34"/>
      <c r="R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O227" s="34"/>
      <c r="P227" s="34"/>
      <c r="Q227" s="34"/>
      <c r="R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O228" s="34"/>
      <c r="P228" s="34"/>
      <c r="Q228" s="34"/>
      <c r="R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O229" s="34"/>
      <c r="P229" s="34"/>
      <c r="Q229" s="34"/>
      <c r="R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O230" s="34"/>
      <c r="P230" s="34"/>
      <c r="Q230" s="34"/>
      <c r="R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O231" s="34"/>
      <c r="P231" s="34"/>
      <c r="Q231" s="34"/>
      <c r="R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O232" s="34"/>
      <c r="P232" s="34"/>
      <c r="Q232" s="34"/>
      <c r="R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O233" s="34"/>
      <c r="P233" s="34"/>
      <c r="Q233" s="34"/>
      <c r="R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O234" s="34"/>
      <c r="P234" s="34"/>
      <c r="Q234" s="34"/>
      <c r="R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O235" s="34"/>
      <c r="P235" s="34"/>
      <c r="Q235" s="34"/>
      <c r="R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O236" s="34"/>
      <c r="P236" s="34"/>
      <c r="Q236" s="34"/>
      <c r="R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O237" s="34"/>
      <c r="P237" s="34"/>
      <c r="Q237" s="34"/>
      <c r="R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O238" s="34"/>
      <c r="P238" s="34"/>
      <c r="Q238" s="34"/>
      <c r="R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O239" s="34"/>
      <c r="P239" s="34"/>
      <c r="Q239" s="34"/>
      <c r="R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O240" s="34"/>
      <c r="P240" s="34"/>
      <c r="Q240" s="34"/>
      <c r="R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O241" s="34"/>
      <c r="P241" s="34"/>
      <c r="Q241" s="34"/>
      <c r="R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O242" s="34"/>
      <c r="P242" s="34"/>
      <c r="Q242" s="34"/>
      <c r="R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O243" s="34"/>
      <c r="P243" s="34"/>
      <c r="Q243" s="34"/>
      <c r="R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O244" s="34"/>
      <c r="P244" s="34"/>
      <c r="Q244" s="34"/>
      <c r="R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O245" s="34"/>
      <c r="P245" s="34"/>
      <c r="Q245" s="34"/>
      <c r="R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O246" s="34"/>
      <c r="P246" s="34"/>
      <c r="Q246" s="34"/>
      <c r="R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O247" s="34"/>
      <c r="P247" s="34"/>
      <c r="Q247" s="34"/>
      <c r="R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O248" s="34"/>
      <c r="P248" s="34"/>
      <c r="Q248" s="34"/>
      <c r="R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O249" s="34"/>
      <c r="P249" s="34"/>
      <c r="Q249" s="34"/>
      <c r="R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O250" s="34"/>
      <c r="P250" s="34"/>
      <c r="Q250" s="34"/>
      <c r="R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O251" s="34"/>
      <c r="P251" s="34"/>
      <c r="Q251" s="34"/>
      <c r="R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O252" s="34"/>
      <c r="P252" s="34"/>
      <c r="Q252" s="34"/>
      <c r="R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O253" s="34"/>
      <c r="P253" s="34"/>
      <c r="Q253" s="34"/>
      <c r="R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O254" s="34"/>
      <c r="P254" s="34"/>
      <c r="Q254" s="34"/>
      <c r="R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O255" s="34"/>
      <c r="P255" s="34"/>
      <c r="Q255" s="34"/>
      <c r="R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O256" s="34"/>
      <c r="P256" s="34"/>
      <c r="Q256" s="34"/>
      <c r="R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O257" s="34"/>
      <c r="P257" s="34"/>
      <c r="Q257" s="34"/>
      <c r="R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O258" s="34"/>
      <c r="P258" s="34"/>
      <c r="Q258" s="34"/>
      <c r="R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O259" s="34"/>
      <c r="P259" s="34"/>
      <c r="Q259" s="34"/>
      <c r="R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O260" s="34"/>
      <c r="P260" s="34"/>
      <c r="Q260" s="34"/>
      <c r="R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O261" s="34"/>
      <c r="P261" s="34"/>
      <c r="Q261" s="34"/>
      <c r="R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O262" s="34"/>
      <c r="P262" s="34"/>
      <c r="Q262" s="34"/>
      <c r="R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O263" s="34"/>
      <c r="P263" s="34"/>
      <c r="Q263" s="34"/>
      <c r="R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O264" s="34"/>
      <c r="P264" s="34"/>
      <c r="Q264" s="34"/>
      <c r="R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O265" s="34"/>
      <c r="P265" s="34"/>
      <c r="Q265" s="34"/>
      <c r="R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O266" s="34"/>
      <c r="P266" s="34"/>
      <c r="Q266" s="34"/>
      <c r="R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O267" s="34"/>
      <c r="P267" s="34"/>
      <c r="Q267" s="34"/>
      <c r="R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O268" s="34"/>
      <c r="P268" s="34"/>
      <c r="Q268" s="34"/>
      <c r="R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O269" s="34"/>
      <c r="P269" s="34"/>
      <c r="Q269" s="34"/>
      <c r="R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O270" s="34"/>
      <c r="P270" s="34"/>
      <c r="Q270" s="34"/>
      <c r="R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O271" s="34"/>
      <c r="P271" s="34"/>
      <c r="Q271" s="34"/>
      <c r="R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O272" s="34"/>
      <c r="P272" s="34"/>
      <c r="Q272" s="34"/>
      <c r="R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O273" s="34"/>
      <c r="P273" s="34"/>
      <c r="Q273" s="34"/>
      <c r="R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O274" s="34"/>
      <c r="P274" s="34"/>
      <c r="Q274" s="34"/>
      <c r="R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O275" s="34"/>
      <c r="P275" s="34"/>
      <c r="Q275" s="34"/>
      <c r="R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O276" s="34"/>
      <c r="P276" s="34"/>
      <c r="Q276" s="34"/>
      <c r="R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O277" s="34"/>
      <c r="P277" s="34"/>
      <c r="Q277" s="34"/>
      <c r="R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O278" s="34"/>
      <c r="P278" s="34"/>
      <c r="Q278" s="34"/>
      <c r="R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O279" s="34"/>
      <c r="P279" s="34"/>
      <c r="Q279" s="34"/>
      <c r="R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O280" s="34"/>
      <c r="P280" s="34"/>
      <c r="Q280" s="34"/>
      <c r="R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O281" s="34"/>
      <c r="P281" s="34"/>
      <c r="Q281" s="34"/>
      <c r="R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O282" s="34"/>
      <c r="P282" s="34"/>
      <c r="Q282" s="34"/>
      <c r="R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O283" s="34"/>
      <c r="P283" s="34"/>
      <c r="Q283" s="34"/>
      <c r="R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O284" s="34"/>
      <c r="P284" s="34"/>
      <c r="Q284" s="34"/>
      <c r="R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O285" s="34"/>
      <c r="P285" s="34"/>
      <c r="Q285" s="34"/>
      <c r="R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O286" s="34"/>
      <c r="P286" s="34"/>
      <c r="Q286" s="34"/>
      <c r="R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O287" s="34"/>
      <c r="P287" s="34"/>
      <c r="Q287" s="34"/>
      <c r="R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O288" s="34"/>
      <c r="P288" s="34"/>
      <c r="Q288" s="34"/>
      <c r="R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O289" s="34"/>
      <c r="P289" s="34"/>
      <c r="Q289" s="34"/>
      <c r="R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O290" s="34"/>
      <c r="P290" s="34"/>
      <c r="Q290" s="34"/>
      <c r="R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O291" s="34"/>
      <c r="P291" s="34"/>
      <c r="Q291" s="34"/>
      <c r="R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O292" s="34"/>
      <c r="P292" s="34"/>
      <c r="Q292" s="34"/>
      <c r="R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O293" s="34"/>
      <c r="P293" s="34"/>
      <c r="Q293" s="34"/>
      <c r="R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O294" s="34"/>
      <c r="P294" s="34"/>
      <c r="Q294" s="34"/>
      <c r="R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O295" s="34"/>
      <c r="P295" s="34"/>
      <c r="Q295" s="34"/>
      <c r="R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O296" s="34"/>
      <c r="P296" s="34"/>
      <c r="Q296" s="34"/>
      <c r="R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O297" s="34"/>
      <c r="P297" s="34"/>
      <c r="Q297" s="34"/>
      <c r="R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O298" s="34"/>
      <c r="P298" s="34"/>
      <c r="Q298" s="34"/>
      <c r="R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O299" s="34"/>
      <c r="P299" s="34"/>
      <c r="Q299" s="34"/>
      <c r="R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O300" s="34"/>
      <c r="P300" s="34"/>
      <c r="Q300" s="34"/>
      <c r="R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O301" s="34"/>
      <c r="P301" s="34"/>
      <c r="Q301" s="34"/>
      <c r="R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O302" s="34"/>
      <c r="P302" s="34"/>
      <c r="Q302" s="34"/>
      <c r="R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O303" s="34"/>
      <c r="P303" s="34"/>
      <c r="Q303" s="34"/>
      <c r="R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O304" s="34"/>
      <c r="P304" s="34"/>
      <c r="Q304" s="34"/>
      <c r="R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O305" s="34"/>
      <c r="P305" s="34"/>
      <c r="Q305" s="34"/>
      <c r="R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O306" s="34"/>
      <c r="P306" s="34"/>
      <c r="Q306" s="34"/>
      <c r="R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O307" s="34"/>
      <c r="P307" s="34"/>
      <c r="Q307" s="34"/>
      <c r="R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O308" s="34"/>
      <c r="P308" s="34"/>
      <c r="Q308" s="34"/>
      <c r="R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O309" s="34"/>
      <c r="P309" s="34"/>
      <c r="Q309" s="34"/>
      <c r="R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O310" s="34"/>
      <c r="P310" s="34"/>
      <c r="Q310" s="34"/>
      <c r="R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O311" s="34"/>
      <c r="P311" s="34"/>
      <c r="Q311" s="34"/>
      <c r="R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O312" s="34"/>
      <c r="P312" s="34"/>
      <c r="Q312" s="34"/>
      <c r="R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O313" s="34"/>
      <c r="P313" s="34"/>
      <c r="Q313" s="34"/>
      <c r="R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O314" s="34"/>
      <c r="P314" s="34"/>
      <c r="Q314" s="34"/>
      <c r="R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O315" s="34"/>
      <c r="P315" s="34"/>
      <c r="Q315" s="34"/>
      <c r="R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O316" s="34"/>
      <c r="P316" s="34"/>
      <c r="Q316" s="34"/>
      <c r="R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O317" s="34"/>
      <c r="P317" s="34"/>
      <c r="Q317" s="34"/>
      <c r="R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O318" s="34"/>
      <c r="P318" s="34"/>
      <c r="Q318" s="34"/>
      <c r="R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O319" s="34"/>
      <c r="P319" s="34"/>
      <c r="Q319" s="34"/>
      <c r="R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O320" s="34"/>
      <c r="P320" s="34"/>
      <c r="Q320" s="34"/>
      <c r="R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O321" s="34"/>
      <c r="P321" s="34"/>
      <c r="Q321" s="34"/>
      <c r="R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O322" s="34"/>
      <c r="P322" s="34"/>
      <c r="Q322" s="34"/>
      <c r="R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O323" s="34"/>
      <c r="P323" s="34"/>
      <c r="Q323" s="34"/>
      <c r="R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O324" s="34"/>
      <c r="P324" s="34"/>
      <c r="Q324" s="34"/>
      <c r="R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O325" s="34"/>
      <c r="P325" s="34"/>
      <c r="Q325" s="34"/>
      <c r="R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O326" s="34"/>
      <c r="P326" s="34"/>
      <c r="Q326" s="34"/>
      <c r="R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O327" s="34"/>
      <c r="P327" s="34"/>
      <c r="Q327" s="34"/>
      <c r="R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O328" s="34"/>
      <c r="P328" s="34"/>
      <c r="Q328" s="34"/>
      <c r="R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O329" s="34"/>
      <c r="P329" s="34"/>
      <c r="Q329" s="34"/>
      <c r="R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O330" s="34"/>
      <c r="P330" s="34"/>
      <c r="Q330" s="34"/>
      <c r="R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O331" s="34"/>
      <c r="P331" s="34"/>
      <c r="Q331" s="34"/>
      <c r="R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O332" s="34"/>
      <c r="P332" s="34"/>
      <c r="Q332" s="34"/>
      <c r="R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O333" s="34"/>
      <c r="P333" s="34"/>
      <c r="Q333" s="34"/>
      <c r="R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O334" s="34"/>
      <c r="P334" s="34"/>
      <c r="Q334" s="34"/>
      <c r="R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O335" s="34"/>
      <c r="P335" s="34"/>
      <c r="Q335" s="34"/>
      <c r="R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O336" s="34"/>
      <c r="P336" s="34"/>
      <c r="Q336" s="34"/>
      <c r="R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O337" s="34"/>
      <c r="P337" s="34"/>
      <c r="Q337" s="34"/>
      <c r="R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O338" s="34"/>
      <c r="P338" s="34"/>
      <c r="Q338" s="34"/>
      <c r="R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O339" s="34"/>
      <c r="P339" s="34"/>
      <c r="Q339" s="34"/>
      <c r="R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O340" s="34"/>
      <c r="P340" s="34"/>
      <c r="Q340" s="34"/>
      <c r="R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O341" s="34"/>
      <c r="P341" s="34"/>
      <c r="Q341" s="34"/>
      <c r="R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O342" s="34"/>
      <c r="P342" s="34"/>
      <c r="Q342" s="34"/>
      <c r="R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O343" s="34"/>
      <c r="P343" s="34"/>
      <c r="Q343" s="34"/>
      <c r="R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O344" s="34"/>
      <c r="P344" s="34"/>
      <c r="Q344" s="34"/>
      <c r="R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O345" s="34"/>
      <c r="P345" s="34"/>
      <c r="Q345" s="34"/>
      <c r="R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O346" s="34"/>
      <c r="P346" s="34"/>
      <c r="Q346" s="34"/>
      <c r="R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O347" s="34"/>
      <c r="P347" s="34"/>
      <c r="Q347" s="34"/>
      <c r="R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O348" s="34"/>
      <c r="P348" s="34"/>
      <c r="Q348" s="34"/>
      <c r="R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O349" s="34"/>
      <c r="P349" s="34"/>
      <c r="Q349" s="34"/>
      <c r="R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O350" s="34"/>
      <c r="P350" s="34"/>
      <c r="Q350" s="34"/>
      <c r="R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O351" s="34"/>
      <c r="P351" s="34"/>
      <c r="Q351" s="34"/>
      <c r="R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O352" s="34"/>
      <c r="P352" s="34"/>
      <c r="Q352" s="34"/>
      <c r="R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O353" s="34"/>
      <c r="P353" s="34"/>
      <c r="Q353" s="34"/>
      <c r="R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O354" s="34"/>
      <c r="P354" s="34"/>
      <c r="Q354" s="34"/>
      <c r="R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O355" s="34"/>
      <c r="P355" s="34"/>
      <c r="Q355" s="34"/>
      <c r="R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O356" s="34"/>
      <c r="P356" s="34"/>
      <c r="Q356" s="34"/>
      <c r="R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O357" s="34"/>
      <c r="P357" s="34"/>
      <c r="Q357" s="34"/>
      <c r="R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O358" s="34"/>
      <c r="P358" s="34"/>
      <c r="Q358" s="34"/>
      <c r="R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O359" s="34"/>
      <c r="P359" s="34"/>
      <c r="Q359" s="34"/>
      <c r="R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O360" s="34"/>
      <c r="P360" s="34"/>
      <c r="Q360" s="34"/>
      <c r="R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O361" s="34"/>
      <c r="P361" s="34"/>
      <c r="Q361" s="34"/>
      <c r="R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O362" s="34"/>
      <c r="P362" s="34"/>
      <c r="Q362" s="34"/>
      <c r="R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O363" s="34"/>
      <c r="P363" s="34"/>
      <c r="Q363" s="34"/>
      <c r="R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O364" s="34"/>
      <c r="P364" s="34"/>
      <c r="Q364" s="34"/>
      <c r="R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O365" s="34"/>
      <c r="P365" s="34"/>
      <c r="Q365" s="34"/>
      <c r="R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O366" s="34"/>
      <c r="P366" s="34"/>
      <c r="Q366" s="34"/>
      <c r="R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O367" s="34"/>
      <c r="P367" s="34"/>
      <c r="Q367" s="34"/>
      <c r="R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O368" s="34"/>
      <c r="P368" s="34"/>
      <c r="Q368" s="34"/>
      <c r="R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O369" s="34"/>
      <c r="P369" s="34"/>
      <c r="Q369" s="34"/>
      <c r="R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O370" s="34"/>
      <c r="P370" s="34"/>
      <c r="Q370" s="34"/>
      <c r="R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O371" s="34"/>
      <c r="P371" s="34"/>
      <c r="Q371" s="34"/>
      <c r="R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O372" s="34"/>
      <c r="P372" s="34"/>
      <c r="Q372" s="34"/>
      <c r="R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O373" s="34"/>
      <c r="P373" s="34"/>
      <c r="Q373" s="34"/>
      <c r="R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O374" s="34"/>
      <c r="P374" s="34"/>
      <c r="Q374" s="34"/>
      <c r="R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O375" s="34"/>
      <c r="P375" s="34"/>
      <c r="Q375" s="34"/>
      <c r="R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O376" s="34"/>
      <c r="P376" s="34"/>
      <c r="Q376" s="34"/>
      <c r="R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O377" s="34"/>
      <c r="P377" s="34"/>
      <c r="Q377" s="34"/>
      <c r="R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O378" s="34"/>
      <c r="P378" s="34"/>
      <c r="Q378" s="34"/>
      <c r="R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O379" s="34"/>
      <c r="P379" s="34"/>
      <c r="Q379" s="34"/>
      <c r="R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O380" s="34"/>
      <c r="P380" s="34"/>
      <c r="Q380" s="34"/>
      <c r="R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O381" s="34"/>
      <c r="P381" s="34"/>
      <c r="Q381" s="34"/>
      <c r="R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O382" s="34"/>
      <c r="P382" s="34"/>
      <c r="Q382" s="34"/>
      <c r="R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O383" s="34"/>
      <c r="P383" s="34"/>
      <c r="Q383" s="34"/>
      <c r="R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O384" s="34"/>
      <c r="P384" s="34"/>
      <c r="Q384" s="34"/>
      <c r="R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O385" s="34"/>
      <c r="P385" s="34"/>
      <c r="Q385" s="34"/>
      <c r="R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O386" s="34"/>
      <c r="P386" s="34"/>
      <c r="Q386" s="34"/>
      <c r="R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O387" s="34"/>
      <c r="P387" s="34"/>
      <c r="Q387" s="34"/>
      <c r="R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O388" s="34"/>
      <c r="P388" s="34"/>
      <c r="Q388" s="34"/>
      <c r="R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O389" s="34"/>
      <c r="P389" s="34"/>
      <c r="Q389" s="34"/>
      <c r="R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O390" s="34"/>
      <c r="P390" s="34"/>
      <c r="Q390" s="34"/>
      <c r="R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O391" s="34"/>
      <c r="P391" s="34"/>
      <c r="Q391" s="34"/>
      <c r="R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O392" s="34"/>
      <c r="P392" s="34"/>
      <c r="Q392" s="34"/>
      <c r="R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O393" s="34"/>
      <c r="P393" s="34"/>
      <c r="Q393" s="34"/>
      <c r="R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O394" s="34"/>
      <c r="P394" s="34"/>
      <c r="Q394" s="34"/>
      <c r="R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O395" s="34"/>
      <c r="P395" s="34"/>
      <c r="Q395" s="34"/>
      <c r="R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O396" s="34"/>
      <c r="P396" s="34"/>
      <c r="Q396" s="34"/>
      <c r="R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O397" s="34"/>
      <c r="P397" s="34"/>
      <c r="Q397" s="34"/>
      <c r="R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O398" s="34"/>
      <c r="P398" s="34"/>
      <c r="Q398" s="34"/>
      <c r="R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O399" s="34"/>
      <c r="P399" s="34"/>
      <c r="Q399" s="34"/>
      <c r="R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O400" s="34"/>
      <c r="P400" s="34"/>
      <c r="Q400" s="34"/>
      <c r="R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O401" s="34"/>
      <c r="P401" s="34"/>
      <c r="Q401" s="34"/>
      <c r="R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O402" s="34"/>
      <c r="P402" s="34"/>
      <c r="Q402" s="34"/>
      <c r="R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O403" s="34"/>
      <c r="P403" s="34"/>
      <c r="Q403" s="34"/>
      <c r="R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O404" s="34"/>
      <c r="P404" s="34"/>
      <c r="Q404" s="34"/>
      <c r="R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O405" s="34"/>
      <c r="P405" s="34"/>
      <c r="Q405" s="34"/>
      <c r="R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O406" s="34"/>
      <c r="P406" s="34"/>
      <c r="Q406" s="34"/>
      <c r="R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O407" s="34"/>
      <c r="P407" s="34"/>
      <c r="Q407" s="34"/>
      <c r="R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O408" s="34"/>
      <c r="P408" s="34"/>
      <c r="Q408" s="34"/>
      <c r="R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O409" s="34"/>
      <c r="P409" s="34"/>
      <c r="Q409" s="34"/>
      <c r="R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O410" s="34"/>
      <c r="P410" s="34"/>
      <c r="Q410" s="34"/>
      <c r="R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O411" s="34"/>
      <c r="P411" s="34"/>
      <c r="Q411" s="34"/>
      <c r="R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O412" s="34"/>
      <c r="P412" s="34"/>
      <c r="Q412" s="34"/>
      <c r="R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O413" s="34"/>
      <c r="P413" s="34"/>
      <c r="Q413" s="34"/>
      <c r="R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O414" s="34"/>
      <c r="P414" s="34"/>
      <c r="Q414" s="34"/>
      <c r="R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O415" s="34"/>
      <c r="P415" s="34"/>
      <c r="Q415" s="34"/>
      <c r="R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O416" s="34"/>
      <c r="P416" s="34"/>
      <c r="Q416" s="34"/>
      <c r="R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O417" s="34"/>
      <c r="P417" s="34"/>
      <c r="Q417" s="34"/>
      <c r="R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O418" s="34"/>
      <c r="P418" s="34"/>
      <c r="Q418" s="34"/>
      <c r="R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O419" s="34"/>
      <c r="P419" s="34"/>
      <c r="Q419" s="34"/>
      <c r="R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O420" s="34"/>
      <c r="P420" s="34"/>
      <c r="Q420" s="34"/>
      <c r="R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O421" s="34"/>
      <c r="P421" s="34"/>
      <c r="Q421" s="34"/>
      <c r="R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O422" s="34"/>
      <c r="P422" s="34"/>
      <c r="Q422" s="34"/>
      <c r="R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O423" s="34"/>
      <c r="P423" s="34"/>
      <c r="Q423" s="34"/>
      <c r="R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O424" s="34"/>
      <c r="P424" s="34"/>
      <c r="Q424" s="34"/>
      <c r="R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O425" s="34"/>
      <c r="P425" s="34"/>
      <c r="Q425" s="34"/>
      <c r="R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O426" s="34"/>
      <c r="P426" s="34"/>
      <c r="Q426" s="34"/>
      <c r="R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O427" s="34"/>
      <c r="P427" s="34"/>
      <c r="Q427" s="34"/>
      <c r="R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O428" s="34"/>
      <c r="P428" s="34"/>
      <c r="Q428" s="34"/>
      <c r="R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O429" s="34"/>
      <c r="P429" s="34"/>
      <c r="Q429" s="34"/>
      <c r="R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O430" s="34"/>
      <c r="P430" s="34"/>
      <c r="Q430" s="34"/>
      <c r="R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O431" s="34"/>
      <c r="P431" s="34"/>
      <c r="Q431" s="34"/>
      <c r="R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O432" s="34"/>
      <c r="P432" s="34"/>
      <c r="Q432" s="34"/>
      <c r="R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O433" s="34"/>
      <c r="P433" s="34"/>
      <c r="Q433" s="34"/>
      <c r="R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O434" s="34"/>
      <c r="P434" s="34"/>
      <c r="Q434" s="34"/>
      <c r="R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O435" s="34"/>
      <c r="P435" s="34"/>
      <c r="Q435" s="34"/>
      <c r="R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O436" s="34"/>
      <c r="P436" s="34"/>
      <c r="Q436" s="34"/>
      <c r="R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O437" s="34"/>
      <c r="P437" s="34"/>
      <c r="Q437" s="34"/>
      <c r="R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O438" s="34"/>
      <c r="P438" s="34"/>
      <c r="Q438" s="34"/>
      <c r="R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O439" s="34"/>
      <c r="P439" s="34"/>
      <c r="Q439" s="34"/>
      <c r="R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O440" s="34"/>
      <c r="P440" s="34"/>
      <c r="Q440" s="34"/>
      <c r="R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O441" s="34"/>
      <c r="P441" s="34"/>
      <c r="Q441" s="34"/>
      <c r="R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O442" s="34"/>
      <c r="P442" s="34"/>
      <c r="Q442" s="34"/>
      <c r="R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O443" s="34"/>
      <c r="P443" s="34"/>
      <c r="Q443" s="34"/>
      <c r="R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O444" s="34"/>
      <c r="P444" s="34"/>
      <c r="Q444" s="34"/>
      <c r="R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O445" s="34"/>
      <c r="P445" s="34"/>
      <c r="Q445" s="34"/>
      <c r="R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O446" s="34"/>
      <c r="P446" s="34"/>
      <c r="Q446" s="34"/>
      <c r="R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O447" s="34"/>
      <c r="P447" s="34"/>
      <c r="Q447" s="34"/>
      <c r="R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O448" s="34"/>
      <c r="P448" s="34"/>
      <c r="Q448" s="34"/>
      <c r="R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O449" s="34"/>
      <c r="P449" s="34"/>
      <c r="Q449" s="34"/>
      <c r="R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O450" s="34"/>
      <c r="P450" s="34"/>
      <c r="Q450" s="34"/>
      <c r="R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O451" s="34"/>
      <c r="P451" s="34"/>
      <c r="Q451" s="34"/>
      <c r="R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O452" s="34"/>
      <c r="P452" s="34"/>
      <c r="Q452" s="34"/>
      <c r="R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O453" s="34"/>
      <c r="P453" s="34"/>
      <c r="Q453" s="34"/>
      <c r="R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O454" s="34"/>
      <c r="P454" s="34"/>
      <c r="Q454" s="34"/>
      <c r="R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O455" s="34"/>
      <c r="P455" s="34"/>
      <c r="Q455" s="34"/>
      <c r="R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O456" s="34"/>
      <c r="P456" s="34"/>
      <c r="Q456" s="34"/>
      <c r="R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O457" s="34"/>
      <c r="P457" s="34"/>
      <c r="Q457" s="34"/>
      <c r="R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O458" s="34"/>
      <c r="P458" s="34"/>
      <c r="Q458" s="34"/>
      <c r="R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O459" s="34"/>
      <c r="P459" s="34"/>
      <c r="Q459" s="34"/>
      <c r="R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O460" s="34"/>
      <c r="P460" s="34"/>
      <c r="Q460" s="34"/>
      <c r="R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O461" s="34"/>
      <c r="P461" s="34"/>
      <c r="Q461" s="34"/>
      <c r="R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O462" s="34"/>
      <c r="P462" s="34"/>
      <c r="Q462" s="34"/>
      <c r="R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O463" s="34"/>
      <c r="P463" s="34"/>
      <c r="Q463" s="34"/>
      <c r="R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O464" s="34"/>
      <c r="P464" s="34"/>
      <c r="Q464" s="34"/>
      <c r="R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O465" s="34"/>
      <c r="P465" s="34"/>
      <c r="Q465" s="34"/>
      <c r="R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O466" s="34"/>
      <c r="P466" s="34"/>
      <c r="Q466" s="34"/>
      <c r="R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O467" s="34"/>
      <c r="P467" s="34"/>
      <c r="Q467" s="34"/>
      <c r="R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O468" s="34"/>
      <c r="P468" s="34"/>
      <c r="Q468" s="34"/>
      <c r="R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O469" s="34"/>
      <c r="P469" s="34"/>
      <c r="Q469" s="34"/>
      <c r="R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O470" s="34"/>
      <c r="P470" s="34"/>
      <c r="Q470" s="34"/>
      <c r="R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O471" s="34"/>
      <c r="P471" s="34"/>
      <c r="Q471" s="34"/>
      <c r="R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O472" s="34"/>
      <c r="P472" s="34"/>
      <c r="Q472" s="34"/>
      <c r="R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O473" s="34"/>
      <c r="P473" s="34"/>
      <c r="Q473" s="34"/>
      <c r="R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O474" s="34"/>
      <c r="P474" s="34"/>
      <c r="Q474" s="34"/>
      <c r="R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O475" s="34"/>
      <c r="P475" s="34"/>
      <c r="Q475" s="34"/>
      <c r="R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O476" s="34"/>
      <c r="P476" s="34"/>
      <c r="Q476" s="34"/>
      <c r="R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O477" s="34"/>
      <c r="P477" s="34"/>
      <c r="Q477" s="34"/>
      <c r="R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O478" s="34"/>
      <c r="P478" s="34"/>
      <c r="Q478" s="34"/>
      <c r="R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O479" s="34"/>
      <c r="P479" s="34"/>
      <c r="Q479" s="34"/>
      <c r="R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O480" s="34"/>
      <c r="P480" s="34"/>
      <c r="Q480" s="34"/>
      <c r="R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O481" s="34"/>
      <c r="P481" s="34"/>
      <c r="Q481" s="34"/>
      <c r="R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O482" s="34"/>
      <c r="P482" s="34"/>
      <c r="Q482" s="34"/>
      <c r="R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O483" s="34"/>
      <c r="P483" s="34"/>
      <c r="Q483" s="34"/>
      <c r="R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O484" s="34"/>
      <c r="P484" s="34"/>
      <c r="Q484" s="34"/>
      <c r="R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O485" s="34"/>
      <c r="P485" s="34"/>
      <c r="Q485" s="34"/>
      <c r="R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O486" s="34"/>
      <c r="P486" s="34"/>
      <c r="Q486" s="34"/>
      <c r="R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O487" s="34"/>
      <c r="P487" s="34"/>
      <c r="Q487" s="34"/>
      <c r="R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O488" s="34"/>
      <c r="P488" s="34"/>
      <c r="Q488" s="34"/>
      <c r="R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O489" s="34"/>
      <c r="P489" s="34"/>
      <c r="Q489" s="34"/>
      <c r="R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O490" s="34"/>
      <c r="P490" s="34"/>
      <c r="Q490" s="34"/>
      <c r="R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O491" s="34"/>
      <c r="P491" s="34"/>
      <c r="Q491" s="34"/>
      <c r="R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O492" s="34"/>
      <c r="P492" s="34"/>
      <c r="Q492" s="34"/>
      <c r="R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O493" s="34"/>
      <c r="P493" s="34"/>
      <c r="Q493" s="34"/>
      <c r="R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O494" s="34"/>
      <c r="P494" s="34"/>
      <c r="Q494" s="34"/>
      <c r="R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O495" s="34"/>
      <c r="P495" s="34"/>
      <c r="Q495" s="34"/>
      <c r="R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O496" s="34"/>
      <c r="P496" s="34"/>
      <c r="Q496" s="34"/>
      <c r="R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O497" s="34"/>
      <c r="P497" s="34"/>
      <c r="Q497" s="34"/>
      <c r="R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O498" s="34"/>
      <c r="P498" s="34"/>
      <c r="Q498" s="34"/>
      <c r="R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O499" s="34"/>
      <c r="P499" s="34"/>
      <c r="Q499" s="34"/>
      <c r="R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O500" s="34"/>
      <c r="P500" s="34"/>
      <c r="Q500" s="34"/>
      <c r="R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O501" s="34"/>
      <c r="P501" s="34"/>
      <c r="Q501" s="34"/>
      <c r="R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O502" s="34"/>
      <c r="P502" s="34"/>
      <c r="Q502" s="34"/>
      <c r="R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O503" s="34"/>
      <c r="P503" s="34"/>
      <c r="Q503" s="34"/>
      <c r="R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O504" s="34"/>
      <c r="P504" s="34"/>
      <c r="Q504" s="34"/>
      <c r="R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O505" s="34"/>
      <c r="P505" s="34"/>
      <c r="Q505" s="34"/>
      <c r="R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O506" s="34"/>
      <c r="P506" s="34"/>
      <c r="Q506" s="34"/>
      <c r="R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O507" s="34"/>
      <c r="P507" s="34"/>
      <c r="Q507" s="34"/>
      <c r="R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O508" s="34"/>
      <c r="P508" s="34"/>
      <c r="Q508" s="34"/>
      <c r="R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O509" s="34"/>
      <c r="P509" s="34"/>
      <c r="Q509" s="34"/>
      <c r="R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O510" s="34"/>
      <c r="P510" s="34"/>
      <c r="Q510" s="34"/>
      <c r="R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O511" s="34"/>
      <c r="P511" s="34"/>
      <c r="Q511" s="34"/>
      <c r="R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O512" s="34"/>
      <c r="P512" s="34"/>
      <c r="Q512" s="34"/>
      <c r="R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O513" s="34"/>
      <c r="P513" s="34"/>
      <c r="Q513" s="34"/>
      <c r="R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O514" s="34"/>
      <c r="P514" s="34"/>
      <c r="Q514" s="34"/>
      <c r="R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O515" s="34"/>
      <c r="P515" s="34"/>
      <c r="Q515" s="34"/>
      <c r="R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O516" s="34"/>
      <c r="P516" s="34"/>
      <c r="Q516" s="34"/>
      <c r="R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O517" s="34"/>
      <c r="P517" s="34"/>
      <c r="Q517" s="34"/>
      <c r="R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O518" s="34"/>
      <c r="P518" s="34"/>
      <c r="Q518" s="34"/>
      <c r="R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O519" s="34"/>
      <c r="P519" s="34"/>
      <c r="Q519" s="34"/>
      <c r="R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O520" s="34"/>
      <c r="P520" s="34"/>
      <c r="Q520" s="34"/>
      <c r="R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O521" s="34"/>
      <c r="P521" s="34"/>
      <c r="Q521" s="34"/>
      <c r="R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O522" s="34"/>
      <c r="P522" s="34"/>
      <c r="Q522" s="34"/>
      <c r="R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O523" s="34"/>
      <c r="P523" s="34"/>
      <c r="Q523" s="34"/>
      <c r="R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O524" s="34"/>
      <c r="P524" s="34"/>
      <c r="Q524" s="34"/>
      <c r="R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O525" s="34"/>
      <c r="P525" s="34"/>
      <c r="Q525" s="34"/>
      <c r="R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O526" s="34"/>
      <c r="P526" s="34"/>
      <c r="Q526" s="34"/>
      <c r="R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O527" s="34"/>
      <c r="P527" s="34"/>
      <c r="Q527" s="34"/>
      <c r="R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O528" s="34"/>
      <c r="P528" s="34"/>
      <c r="Q528" s="34"/>
      <c r="R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O529" s="34"/>
      <c r="P529" s="34"/>
      <c r="Q529" s="34"/>
      <c r="R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O530" s="34"/>
      <c r="P530" s="34"/>
      <c r="Q530" s="34"/>
      <c r="R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O531" s="34"/>
      <c r="P531" s="34"/>
      <c r="Q531" s="34"/>
      <c r="R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O532" s="34"/>
      <c r="P532" s="34"/>
      <c r="Q532" s="34"/>
      <c r="R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O533" s="34"/>
      <c r="P533" s="34"/>
      <c r="Q533" s="34"/>
      <c r="R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O534" s="34"/>
      <c r="P534" s="34"/>
      <c r="Q534" s="34"/>
      <c r="R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O535" s="34"/>
      <c r="P535" s="34"/>
      <c r="Q535" s="34"/>
      <c r="R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O536" s="34"/>
      <c r="P536" s="34"/>
      <c r="Q536" s="34"/>
      <c r="R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O537" s="34"/>
      <c r="P537" s="34"/>
      <c r="Q537" s="34"/>
      <c r="R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O538" s="34"/>
      <c r="P538" s="34"/>
      <c r="Q538" s="34"/>
      <c r="R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O539" s="34"/>
      <c r="P539" s="34"/>
      <c r="Q539" s="34"/>
      <c r="R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O540" s="34"/>
      <c r="P540" s="34"/>
      <c r="Q540" s="34"/>
      <c r="R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O541" s="34"/>
      <c r="P541" s="34"/>
      <c r="Q541" s="34"/>
      <c r="R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O542" s="34"/>
      <c r="P542" s="34"/>
      <c r="Q542" s="34"/>
      <c r="R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O543" s="34"/>
      <c r="P543" s="34"/>
      <c r="Q543" s="34"/>
      <c r="R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O544" s="34"/>
      <c r="P544" s="34"/>
      <c r="Q544" s="34"/>
      <c r="R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O545" s="34"/>
      <c r="P545" s="34"/>
      <c r="Q545" s="34"/>
      <c r="R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O546" s="34"/>
      <c r="P546" s="34"/>
      <c r="Q546" s="34"/>
      <c r="R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O547" s="34"/>
      <c r="P547" s="34"/>
      <c r="Q547" s="34"/>
      <c r="R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O548" s="34"/>
      <c r="P548" s="34"/>
      <c r="Q548" s="34"/>
      <c r="R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O549" s="34"/>
      <c r="P549" s="34"/>
      <c r="Q549" s="34"/>
      <c r="R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O550" s="34"/>
      <c r="P550" s="34"/>
      <c r="Q550" s="34"/>
      <c r="R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O551" s="34"/>
      <c r="P551" s="34"/>
      <c r="Q551" s="34"/>
      <c r="R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O552" s="34"/>
      <c r="P552" s="34"/>
      <c r="Q552" s="34"/>
      <c r="R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O553" s="34"/>
      <c r="P553" s="34"/>
      <c r="Q553" s="34"/>
      <c r="R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O554" s="34"/>
      <c r="P554" s="34"/>
      <c r="Q554" s="34"/>
      <c r="R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O555" s="34"/>
      <c r="P555" s="34"/>
      <c r="Q555" s="34"/>
      <c r="R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O556" s="34"/>
      <c r="P556" s="34"/>
      <c r="Q556" s="34"/>
      <c r="R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O557" s="34"/>
      <c r="P557" s="34"/>
      <c r="Q557" s="34"/>
      <c r="R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O558" s="34"/>
      <c r="P558" s="34"/>
      <c r="Q558" s="34"/>
      <c r="R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O559" s="34"/>
      <c r="P559" s="34"/>
      <c r="Q559" s="34"/>
      <c r="R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O560" s="34"/>
      <c r="P560" s="34"/>
      <c r="Q560" s="34"/>
      <c r="R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O561" s="34"/>
      <c r="P561" s="34"/>
      <c r="Q561" s="34"/>
      <c r="R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O562" s="34"/>
      <c r="P562" s="34"/>
      <c r="Q562" s="34"/>
      <c r="R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O563" s="34"/>
      <c r="P563" s="34"/>
      <c r="Q563" s="34"/>
      <c r="R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O564" s="34"/>
      <c r="P564" s="34"/>
      <c r="Q564" s="34"/>
      <c r="R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O565" s="34"/>
      <c r="P565" s="34"/>
      <c r="Q565" s="34"/>
      <c r="R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O566" s="34"/>
      <c r="P566" s="34"/>
      <c r="Q566" s="34"/>
      <c r="R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O567" s="34"/>
      <c r="P567" s="34"/>
      <c r="Q567" s="34"/>
      <c r="R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O568" s="34"/>
      <c r="P568" s="34"/>
      <c r="Q568" s="34"/>
      <c r="R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O569" s="34"/>
      <c r="P569" s="34"/>
      <c r="Q569" s="34"/>
      <c r="R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O570" s="34"/>
      <c r="P570" s="34"/>
      <c r="Q570" s="34"/>
      <c r="R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O571" s="34"/>
      <c r="P571" s="34"/>
      <c r="Q571" s="34"/>
      <c r="R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O572" s="34"/>
      <c r="P572" s="34"/>
      <c r="Q572" s="34"/>
      <c r="R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O573" s="34"/>
      <c r="P573" s="34"/>
      <c r="Q573" s="34"/>
      <c r="R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O574" s="34"/>
      <c r="P574" s="34"/>
      <c r="Q574" s="34"/>
      <c r="R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O575" s="34"/>
      <c r="P575" s="34"/>
      <c r="Q575" s="34"/>
      <c r="R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O576" s="34"/>
      <c r="P576" s="34"/>
      <c r="Q576" s="34"/>
      <c r="R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O577" s="34"/>
      <c r="P577" s="34"/>
      <c r="Q577" s="34"/>
      <c r="R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O578" s="34"/>
      <c r="P578" s="34"/>
      <c r="Q578" s="34"/>
      <c r="R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O579" s="34"/>
      <c r="P579" s="34"/>
      <c r="Q579" s="34"/>
      <c r="R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O580" s="34"/>
      <c r="P580" s="34"/>
      <c r="Q580" s="34"/>
      <c r="R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O581" s="34"/>
      <c r="P581" s="34"/>
      <c r="Q581" s="34"/>
      <c r="R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O582" s="34"/>
      <c r="P582" s="34"/>
      <c r="Q582" s="34"/>
      <c r="R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O583" s="34"/>
      <c r="P583" s="34"/>
      <c r="Q583" s="34"/>
      <c r="R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O584" s="34"/>
      <c r="P584" s="34"/>
      <c r="Q584" s="34"/>
      <c r="R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O585" s="34"/>
      <c r="P585" s="34"/>
      <c r="Q585" s="34"/>
      <c r="R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O586" s="34"/>
      <c r="P586" s="34"/>
      <c r="Q586" s="34"/>
      <c r="R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O587" s="34"/>
      <c r="P587" s="34"/>
      <c r="Q587" s="34"/>
      <c r="R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O588" s="34"/>
      <c r="P588" s="34"/>
      <c r="Q588" s="34"/>
      <c r="R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O589" s="34"/>
      <c r="P589" s="34"/>
      <c r="Q589" s="34"/>
      <c r="R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O590" s="34"/>
      <c r="P590" s="34"/>
      <c r="Q590" s="34"/>
      <c r="R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O591" s="34"/>
      <c r="P591" s="34"/>
      <c r="Q591" s="34"/>
      <c r="R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O592" s="34"/>
      <c r="P592" s="34"/>
      <c r="Q592" s="34"/>
      <c r="R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O593" s="34"/>
      <c r="P593" s="34"/>
      <c r="Q593" s="34"/>
      <c r="R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O594" s="34"/>
      <c r="P594" s="34"/>
      <c r="Q594" s="34"/>
      <c r="R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O595" s="34"/>
      <c r="P595" s="34"/>
      <c r="Q595" s="34"/>
      <c r="R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O596" s="34"/>
      <c r="P596" s="34"/>
      <c r="Q596" s="34"/>
      <c r="R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O597" s="34"/>
      <c r="P597" s="34"/>
      <c r="Q597" s="34"/>
      <c r="R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O598" s="34"/>
      <c r="P598" s="34"/>
      <c r="Q598" s="34"/>
      <c r="R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O599" s="34"/>
      <c r="P599" s="34"/>
      <c r="Q599" s="34"/>
      <c r="R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O600" s="34"/>
      <c r="P600" s="34"/>
      <c r="Q600" s="34"/>
      <c r="R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O601" s="34"/>
      <c r="P601" s="34"/>
      <c r="Q601" s="34"/>
      <c r="R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O602" s="34"/>
      <c r="P602" s="34"/>
      <c r="Q602" s="34"/>
      <c r="R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O603" s="34"/>
      <c r="P603" s="34"/>
      <c r="Q603" s="34"/>
      <c r="R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O604" s="34"/>
      <c r="P604" s="34"/>
      <c r="Q604" s="34"/>
      <c r="R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O605" s="34"/>
      <c r="P605" s="34"/>
      <c r="Q605" s="34"/>
      <c r="R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O606" s="34"/>
      <c r="P606" s="34"/>
      <c r="Q606" s="34"/>
      <c r="R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O607" s="34"/>
      <c r="P607" s="34"/>
      <c r="Q607" s="34"/>
      <c r="R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O608" s="34"/>
      <c r="P608" s="34"/>
      <c r="Q608" s="34"/>
      <c r="R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O609" s="34"/>
      <c r="P609" s="34"/>
      <c r="Q609" s="34"/>
      <c r="R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O610" s="34"/>
      <c r="P610" s="34"/>
      <c r="Q610" s="34"/>
      <c r="R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O611" s="34"/>
      <c r="P611" s="34"/>
      <c r="Q611" s="34"/>
      <c r="R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O612" s="34"/>
      <c r="P612" s="34"/>
      <c r="Q612" s="34"/>
      <c r="R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O613" s="34"/>
      <c r="P613" s="34"/>
      <c r="Q613" s="34"/>
      <c r="R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O614" s="34"/>
      <c r="P614" s="34"/>
      <c r="Q614" s="34"/>
      <c r="R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O615" s="34"/>
      <c r="P615" s="34"/>
      <c r="Q615" s="34"/>
      <c r="R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O616" s="34"/>
      <c r="P616" s="34"/>
      <c r="Q616" s="34"/>
      <c r="R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O617" s="34"/>
      <c r="P617" s="34"/>
      <c r="Q617" s="34"/>
      <c r="R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O618" s="34"/>
      <c r="P618" s="34"/>
      <c r="Q618" s="34"/>
      <c r="R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O619" s="34"/>
      <c r="P619" s="34"/>
      <c r="Q619" s="34"/>
      <c r="R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O620" s="34"/>
      <c r="P620" s="34"/>
      <c r="Q620" s="34"/>
      <c r="R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O621" s="34"/>
      <c r="P621" s="34"/>
      <c r="Q621" s="34"/>
      <c r="R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O622" s="34"/>
      <c r="P622" s="34"/>
      <c r="Q622" s="34"/>
      <c r="R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O623" s="34"/>
      <c r="P623" s="34"/>
      <c r="Q623" s="34"/>
      <c r="R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O624" s="34"/>
      <c r="P624" s="34"/>
      <c r="Q624" s="34"/>
      <c r="R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O625" s="34"/>
      <c r="P625" s="34"/>
      <c r="Q625" s="34"/>
      <c r="R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O626" s="34"/>
      <c r="P626" s="34"/>
      <c r="Q626" s="34"/>
      <c r="R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O627" s="34"/>
      <c r="P627" s="34"/>
      <c r="Q627" s="34"/>
      <c r="R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O628" s="34"/>
      <c r="P628" s="34"/>
      <c r="Q628" s="34"/>
      <c r="R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O629" s="34"/>
      <c r="P629" s="34"/>
      <c r="Q629" s="34"/>
      <c r="R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O630" s="34"/>
      <c r="P630" s="34"/>
      <c r="Q630" s="34"/>
      <c r="R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O631" s="34"/>
      <c r="P631" s="34"/>
      <c r="Q631" s="34"/>
      <c r="R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O632" s="34"/>
      <c r="P632" s="34"/>
      <c r="Q632" s="34"/>
      <c r="R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O633" s="34"/>
      <c r="P633" s="34"/>
      <c r="Q633" s="34"/>
      <c r="R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O634" s="34"/>
      <c r="P634" s="34"/>
      <c r="Q634" s="34"/>
      <c r="R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O635" s="34"/>
      <c r="P635" s="34"/>
      <c r="Q635" s="34"/>
      <c r="R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O636" s="34"/>
      <c r="P636" s="34"/>
      <c r="Q636" s="34"/>
      <c r="R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O637" s="34"/>
      <c r="P637" s="34"/>
      <c r="Q637" s="34"/>
      <c r="R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O638" s="34"/>
      <c r="P638" s="34"/>
      <c r="Q638" s="34"/>
      <c r="R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O639" s="34"/>
      <c r="P639" s="34"/>
      <c r="Q639" s="34"/>
      <c r="R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O640" s="34"/>
      <c r="P640" s="34"/>
      <c r="Q640" s="34"/>
      <c r="R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O641" s="34"/>
      <c r="P641" s="34"/>
      <c r="Q641" s="34"/>
      <c r="R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O642" s="34"/>
      <c r="P642" s="34"/>
      <c r="Q642" s="34"/>
      <c r="R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O643" s="34"/>
      <c r="P643" s="34"/>
      <c r="Q643" s="34"/>
      <c r="R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O644" s="34"/>
      <c r="P644" s="34"/>
      <c r="Q644" s="34"/>
      <c r="R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O645" s="34"/>
      <c r="P645" s="34"/>
      <c r="Q645" s="34"/>
      <c r="R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O646" s="34"/>
      <c r="P646" s="34"/>
      <c r="Q646" s="34"/>
      <c r="R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O647" s="34"/>
      <c r="P647" s="34"/>
      <c r="Q647" s="34"/>
      <c r="R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O648" s="34"/>
      <c r="P648" s="34"/>
      <c r="Q648" s="34"/>
      <c r="R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O649" s="34"/>
      <c r="P649" s="34"/>
      <c r="Q649" s="34"/>
      <c r="R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O650" s="34"/>
      <c r="P650" s="34"/>
      <c r="Q650" s="34"/>
      <c r="R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O651" s="34"/>
      <c r="P651" s="34"/>
      <c r="Q651" s="34"/>
      <c r="R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O652" s="34"/>
      <c r="P652" s="34"/>
      <c r="Q652" s="34"/>
      <c r="R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O653" s="34"/>
      <c r="P653" s="34"/>
      <c r="Q653" s="34"/>
      <c r="R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O654" s="34"/>
      <c r="P654" s="34"/>
      <c r="Q654" s="34"/>
      <c r="R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O655" s="34"/>
      <c r="P655" s="34"/>
      <c r="Q655" s="34"/>
      <c r="R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O656" s="34"/>
      <c r="P656" s="34"/>
      <c r="Q656" s="34"/>
      <c r="R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O657" s="34"/>
      <c r="P657" s="34"/>
      <c r="Q657" s="34"/>
      <c r="R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O658" s="34"/>
      <c r="P658" s="34"/>
      <c r="Q658" s="34"/>
      <c r="R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O659" s="34"/>
      <c r="P659" s="34"/>
      <c r="Q659" s="34"/>
      <c r="R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O660" s="34"/>
      <c r="P660" s="34"/>
      <c r="Q660" s="34"/>
      <c r="R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O661" s="34"/>
      <c r="P661" s="34"/>
      <c r="Q661" s="34"/>
      <c r="R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O662" s="34"/>
      <c r="P662" s="34"/>
      <c r="Q662" s="34"/>
      <c r="R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O663" s="34"/>
      <c r="P663" s="34"/>
      <c r="Q663" s="34"/>
      <c r="R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O664" s="34"/>
      <c r="P664" s="34"/>
      <c r="Q664" s="34"/>
      <c r="R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O665" s="34"/>
      <c r="P665" s="34"/>
      <c r="Q665" s="34"/>
      <c r="R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O666" s="34"/>
      <c r="P666" s="34"/>
      <c r="Q666" s="34"/>
      <c r="R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O667" s="34"/>
      <c r="P667" s="34"/>
      <c r="Q667" s="34"/>
      <c r="R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O668" s="34"/>
      <c r="P668" s="34"/>
      <c r="Q668" s="34"/>
      <c r="R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O669" s="34"/>
      <c r="P669" s="34"/>
      <c r="Q669" s="34"/>
      <c r="R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O670" s="34"/>
      <c r="P670" s="34"/>
      <c r="Q670" s="34"/>
      <c r="R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O671" s="34"/>
      <c r="P671" s="34"/>
      <c r="Q671" s="34"/>
      <c r="R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O672" s="34"/>
      <c r="P672" s="34"/>
      <c r="Q672" s="34"/>
      <c r="R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O673" s="34"/>
      <c r="P673" s="34"/>
      <c r="Q673" s="34"/>
      <c r="R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O674" s="34"/>
      <c r="P674" s="34"/>
      <c r="Q674" s="34"/>
      <c r="R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O675" s="34"/>
      <c r="P675" s="34"/>
      <c r="Q675" s="34"/>
      <c r="R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O676" s="34"/>
      <c r="P676" s="34"/>
      <c r="Q676" s="34"/>
      <c r="R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O677" s="34"/>
      <c r="P677" s="34"/>
      <c r="Q677" s="34"/>
      <c r="R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O678" s="34"/>
      <c r="P678" s="34"/>
      <c r="Q678" s="34"/>
      <c r="R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O679" s="34"/>
      <c r="P679" s="34"/>
      <c r="Q679" s="34"/>
      <c r="R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O680" s="34"/>
      <c r="P680" s="34"/>
      <c r="Q680" s="34"/>
      <c r="R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O681" s="34"/>
      <c r="P681" s="34"/>
      <c r="Q681" s="34"/>
      <c r="R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O682" s="34"/>
      <c r="P682" s="34"/>
      <c r="Q682" s="34"/>
      <c r="R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O683" s="34"/>
      <c r="P683" s="34"/>
      <c r="Q683" s="34"/>
      <c r="R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O684" s="34"/>
      <c r="P684" s="34"/>
      <c r="Q684" s="34"/>
      <c r="R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O685" s="34"/>
      <c r="P685" s="34"/>
      <c r="Q685" s="34"/>
      <c r="R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O686" s="34"/>
      <c r="P686" s="34"/>
      <c r="Q686" s="34"/>
      <c r="R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O687" s="34"/>
      <c r="P687" s="34"/>
      <c r="Q687" s="34"/>
      <c r="R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O688" s="34"/>
      <c r="P688" s="34"/>
      <c r="Q688" s="34"/>
      <c r="R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O689" s="34"/>
      <c r="P689" s="34"/>
      <c r="Q689" s="34"/>
      <c r="R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O690" s="34"/>
      <c r="P690" s="34"/>
      <c r="Q690" s="34"/>
      <c r="R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O691" s="34"/>
      <c r="P691" s="34"/>
      <c r="Q691" s="34"/>
      <c r="R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O692" s="34"/>
      <c r="P692" s="34"/>
      <c r="Q692" s="34"/>
      <c r="R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O693" s="34"/>
      <c r="P693" s="34"/>
      <c r="Q693" s="34"/>
      <c r="R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O694" s="34"/>
      <c r="P694" s="34"/>
      <c r="Q694" s="34"/>
      <c r="R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O695" s="34"/>
      <c r="P695" s="34"/>
      <c r="Q695" s="34"/>
      <c r="R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O696" s="34"/>
      <c r="P696" s="34"/>
      <c r="Q696" s="34"/>
      <c r="R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O697" s="34"/>
      <c r="P697" s="34"/>
      <c r="Q697" s="34"/>
      <c r="R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O698" s="34"/>
      <c r="P698" s="34"/>
      <c r="Q698" s="34"/>
      <c r="R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O699" s="34"/>
      <c r="P699" s="34"/>
      <c r="Q699" s="34"/>
      <c r="R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O700" s="34"/>
      <c r="P700" s="34"/>
      <c r="Q700" s="34"/>
      <c r="R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O701" s="34"/>
      <c r="P701" s="34"/>
      <c r="Q701" s="34"/>
      <c r="R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O702" s="34"/>
      <c r="P702" s="34"/>
      <c r="Q702" s="34"/>
      <c r="R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O703" s="34"/>
      <c r="P703" s="34"/>
      <c r="Q703" s="34"/>
      <c r="R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O704" s="34"/>
      <c r="P704" s="34"/>
      <c r="Q704" s="34"/>
      <c r="R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O705" s="34"/>
      <c r="P705" s="34"/>
      <c r="Q705" s="34"/>
      <c r="R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O706" s="34"/>
      <c r="P706" s="34"/>
      <c r="Q706" s="34"/>
      <c r="R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O707" s="34"/>
      <c r="P707" s="34"/>
      <c r="Q707" s="34"/>
      <c r="R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O708" s="34"/>
      <c r="P708" s="34"/>
      <c r="Q708" s="34"/>
      <c r="R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O709" s="34"/>
      <c r="P709" s="34"/>
      <c r="Q709" s="34"/>
      <c r="R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O710" s="34"/>
      <c r="P710" s="34"/>
      <c r="Q710" s="34"/>
      <c r="R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O711" s="34"/>
      <c r="P711" s="34"/>
      <c r="Q711" s="34"/>
      <c r="R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O712" s="34"/>
      <c r="P712" s="34"/>
      <c r="Q712" s="34"/>
      <c r="R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O713" s="34"/>
      <c r="P713" s="34"/>
      <c r="Q713" s="34"/>
      <c r="R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O714" s="34"/>
      <c r="P714" s="34"/>
      <c r="Q714" s="34"/>
      <c r="R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O715" s="34"/>
      <c r="P715" s="34"/>
      <c r="Q715" s="34"/>
      <c r="R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O716" s="34"/>
      <c r="P716" s="34"/>
      <c r="Q716" s="34"/>
      <c r="R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O717" s="34"/>
      <c r="P717" s="34"/>
      <c r="Q717" s="34"/>
      <c r="R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O718" s="34"/>
      <c r="P718" s="34"/>
      <c r="Q718" s="34"/>
      <c r="R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O719" s="34"/>
      <c r="P719" s="34"/>
      <c r="Q719" s="34"/>
      <c r="R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O720" s="34"/>
      <c r="P720" s="34"/>
      <c r="Q720" s="34"/>
      <c r="R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O721" s="34"/>
      <c r="P721" s="34"/>
      <c r="Q721" s="34"/>
      <c r="R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O722" s="34"/>
      <c r="P722" s="34"/>
      <c r="Q722" s="34"/>
      <c r="R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O723" s="34"/>
      <c r="P723" s="34"/>
      <c r="Q723" s="34"/>
      <c r="R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O724" s="34"/>
      <c r="P724" s="34"/>
      <c r="Q724" s="34"/>
      <c r="R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O725" s="34"/>
      <c r="P725" s="34"/>
      <c r="Q725" s="34"/>
      <c r="R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O726" s="34"/>
      <c r="P726" s="34"/>
      <c r="Q726" s="34"/>
      <c r="R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O727" s="34"/>
      <c r="P727" s="34"/>
      <c r="Q727" s="34"/>
      <c r="R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O728" s="34"/>
      <c r="P728" s="34"/>
      <c r="Q728" s="34"/>
      <c r="R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O729" s="34"/>
      <c r="P729" s="34"/>
      <c r="Q729" s="34"/>
      <c r="R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O730" s="34"/>
      <c r="P730" s="34"/>
      <c r="Q730" s="34"/>
      <c r="R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O731" s="34"/>
      <c r="P731" s="34"/>
      <c r="Q731" s="34"/>
      <c r="R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O732" s="34"/>
      <c r="P732" s="34"/>
      <c r="Q732" s="34"/>
      <c r="R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O733" s="34"/>
      <c r="P733" s="34"/>
      <c r="Q733" s="34"/>
      <c r="R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O734" s="34"/>
      <c r="P734" s="34"/>
      <c r="Q734" s="34"/>
      <c r="R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O735" s="34"/>
      <c r="P735" s="34"/>
      <c r="Q735" s="34"/>
      <c r="R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O736" s="34"/>
      <c r="P736" s="34"/>
      <c r="Q736" s="34"/>
      <c r="R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O737" s="34"/>
      <c r="P737" s="34"/>
      <c r="Q737" s="34"/>
      <c r="R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O738" s="34"/>
      <c r="P738" s="34"/>
      <c r="Q738" s="34"/>
      <c r="R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O739" s="34"/>
      <c r="P739" s="34"/>
      <c r="Q739" s="34"/>
      <c r="R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O740" s="34"/>
      <c r="P740" s="34"/>
      <c r="Q740" s="34"/>
      <c r="R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O741" s="34"/>
      <c r="P741" s="34"/>
      <c r="Q741" s="34"/>
      <c r="R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O742" s="34"/>
      <c r="P742" s="34"/>
      <c r="Q742" s="34"/>
      <c r="R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O743" s="34"/>
      <c r="P743" s="34"/>
      <c r="Q743" s="34"/>
      <c r="R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O744" s="34"/>
      <c r="P744" s="34"/>
      <c r="Q744" s="34"/>
      <c r="R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O745" s="34"/>
      <c r="P745" s="34"/>
      <c r="Q745" s="34"/>
      <c r="R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O746" s="34"/>
      <c r="P746" s="34"/>
      <c r="Q746" s="34"/>
      <c r="R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O747" s="34"/>
      <c r="P747" s="34"/>
      <c r="Q747" s="34"/>
      <c r="R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O748" s="34"/>
      <c r="P748" s="34"/>
      <c r="Q748" s="34"/>
      <c r="R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O749" s="34"/>
      <c r="P749" s="34"/>
      <c r="Q749" s="34"/>
      <c r="R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O750" s="34"/>
      <c r="P750" s="34"/>
      <c r="Q750" s="34"/>
      <c r="R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O751" s="34"/>
      <c r="P751" s="34"/>
      <c r="Q751" s="34"/>
      <c r="R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O752" s="34"/>
      <c r="P752" s="34"/>
      <c r="Q752" s="34"/>
      <c r="R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O753" s="34"/>
      <c r="P753" s="34"/>
      <c r="Q753" s="34"/>
      <c r="R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O754" s="34"/>
      <c r="P754" s="34"/>
      <c r="Q754" s="34"/>
      <c r="R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O755" s="34"/>
      <c r="P755" s="34"/>
      <c r="Q755" s="34"/>
      <c r="R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O756" s="34"/>
      <c r="P756" s="34"/>
      <c r="Q756" s="34"/>
      <c r="R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O757" s="34"/>
      <c r="P757" s="34"/>
      <c r="Q757" s="34"/>
      <c r="R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O758" s="34"/>
      <c r="P758" s="34"/>
      <c r="Q758" s="34"/>
      <c r="R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O759" s="34"/>
      <c r="P759" s="34"/>
      <c r="Q759" s="34"/>
      <c r="R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O760" s="34"/>
      <c r="P760" s="34"/>
      <c r="Q760" s="34"/>
      <c r="R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O761" s="34"/>
      <c r="P761" s="34"/>
      <c r="Q761" s="34"/>
      <c r="R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O762" s="34"/>
      <c r="P762" s="34"/>
      <c r="Q762" s="34"/>
      <c r="R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O763" s="34"/>
      <c r="P763" s="34"/>
      <c r="Q763" s="34"/>
      <c r="R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O764" s="34"/>
      <c r="P764" s="34"/>
      <c r="Q764" s="34"/>
      <c r="R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O765" s="34"/>
      <c r="P765" s="34"/>
      <c r="Q765" s="34"/>
      <c r="R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O766" s="34"/>
      <c r="P766" s="34"/>
      <c r="Q766" s="34"/>
      <c r="R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O767" s="34"/>
      <c r="P767" s="34"/>
      <c r="Q767" s="34"/>
      <c r="R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O768" s="34"/>
      <c r="P768" s="34"/>
      <c r="Q768" s="34"/>
      <c r="R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O769" s="34"/>
      <c r="P769" s="34"/>
      <c r="Q769" s="34"/>
      <c r="R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O770" s="34"/>
      <c r="P770" s="34"/>
      <c r="Q770" s="34"/>
      <c r="R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O771" s="34"/>
      <c r="P771" s="34"/>
      <c r="Q771" s="34"/>
      <c r="R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O772" s="34"/>
      <c r="P772" s="34"/>
      <c r="Q772" s="34"/>
      <c r="R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O773" s="34"/>
      <c r="P773" s="34"/>
      <c r="Q773" s="34"/>
      <c r="R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O774" s="34"/>
      <c r="P774" s="34"/>
      <c r="Q774" s="34"/>
      <c r="R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O775" s="34"/>
      <c r="P775" s="34"/>
      <c r="Q775" s="34"/>
      <c r="R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O776" s="34"/>
      <c r="P776" s="34"/>
      <c r="Q776" s="34"/>
      <c r="R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O777" s="34"/>
      <c r="P777" s="34"/>
      <c r="Q777" s="34"/>
      <c r="R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O778" s="34"/>
      <c r="P778" s="34"/>
      <c r="Q778" s="34"/>
      <c r="R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O779" s="34"/>
      <c r="P779" s="34"/>
      <c r="Q779" s="34"/>
      <c r="R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O780" s="34"/>
      <c r="P780" s="34"/>
      <c r="Q780" s="34"/>
      <c r="R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O781" s="34"/>
      <c r="P781" s="34"/>
      <c r="Q781" s="34"/>
      <c r="R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O782" s="34"/>
      <c r="P782" s="34"/>
      <c r="Q782" s="34"/>
      <c r="R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O783" s="34"/>
      <c r="P783" s="34"/>
      <c r="Q783" s="34"/>
      <c r="R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O784" s="34"/>
      <c r="P784" s="34"/>
      <c r="Q784" s="34"/>
      <c r="R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O785" s="34"/>
      <c r="P785" s="34"/>
      <c r="Q785" s="34"/>
      <c r="R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O786" s="34"/>
      <c r="P786" s="34"/>
      <c r="Q786" s="34"/>
      <c r="R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O787" s="34"/>
      <c r="P787" s="34"/>
      <c r="Q787" s="34"/>
      <c r="R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O788" s="34"/>
      <c r="P788" s="34"/>
      <c r="Q788" s="34"/>
      <c r="R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O789" s="34"/>
      <c r="P789" s="34"/>
      <c r="Q789" s="34"/>
      <c r="R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O790" s="34"/>
      <c r="P790" s="34"/>
      <c r="Q790" s="34"/>
      <c r="R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O791" s="34"/>
      <c r="P791" s="34"/>
      <c r="Q791" s="34"/>
      <c r="R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O792" s="34"/>
      <c r="P792" s="34"/>
      <c r="Q792" s="34"/>
      <c r="R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O793" s="34"/>
      <c r="P793" s="34"/>
      <c r="Q793" s="34"/>
      <c r="R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O794" s="34"/>
      <c r="P794" s="34"/>
      <c r="Q794" s="34"/>
      <c r="R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O795" s="34"/>
      <c r="P795" s="34"/>
      <c r="Q795" s="34"/>
      <c r="R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O796" s="34"/>
      <c r="P796" s="34"/>
      <c r="Q796" s="34"/>
      <c r="R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O797" s="34"/>
      <c r="P797" s="34"/>
      <c r="Q797" s="34"/>
      <c r="R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O798" s="34"/>
      <c r="P798" s="34"/>
      <c r="Q798" s="34"/>
      <c r="R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O799" s="34"/>
      <c r="P799" s="34"/>
      <c r="Q799" s="34"/>
      <c r="R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O800" s="34"/>
      <c r="P800" s="34"/>
      <c r="Q800" s="34"/>
      <c r="R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O801" s="34"/>
      <c r="P801" s="34"/>
      <c r="Q801" s="34"/>
      <c r="R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O802" s="34"/>
      <c r="P802" s="34"/>
      <c r="Q802" s="34"/>
      <c r="R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O803" s="34"/>
      <c r="P803" s="34"/>
      <c r="Q803" s="34"/>
      <c r="R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O804" s="34"/>
      <c r="P804" s="34"/>
      <c r="Q804" s="34"/>
      <c r="R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O805" s="34"/>
      <c r="P805" s="34"/>
      <c r="Q805" s="34"/>
      <c r="R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O806" s="34"/>
      <c r="P806" s="34"/>
      <c r="Q806" s="34"/>
      <c r="R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O807" s="34"/>
      <c r="P807" s="34"/>
      <c r="Q807" s="34"/>
      <c r="R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O808" s="34"/>
      <c r="P808" s="34"/>
      <c r="Q808" s="34"/>
      <c r="R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O809" s="34"/>
      <c r="P809" s="34"/>
      <c r="Q809" s="34"/>
      <c r="R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O810" s="34"/>
      <c r="P810" s="34"/>
      <c r="Q810" s="34"/>
      <c r="R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O811" s="34"/>
      <c r="P811" s="34"/>
      <c r="Q811" s="34"/>
      <c r="R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O812" s="34"/>
      <c r="P812" s="34"/>
      <c r="Q812" s="34"/>
      <c r="R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O813" s="34"/>
      <c r="P813" s="34"/>
      <c r="Q813" s="34"/>
      <c r="R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O814" s="34"/>
      <c r="P814" s="34"/>
      <c r="Q814" s="34"/>
      <c r="R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O815" s="34"/>
      <c r="P815" s="34"/>
      <c r="Q815" s="34"/>
      <c r="R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O816" s="34"/>
      <c r="P816" s="34"/>
      <c r="Q816" s="34"/>
      <c r="R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O817" s="34"/>
      <c r="P817" s="34"/>
      <c r="Q817" s="34"/>
      <c r="R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O818" s="34"/>
      <c r="P818" s="34"/>
      <c r="Q818" s="34"/>
      <c r="R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O819" s="34"/>
      <c r="P819" s="34"/>
      <c r="Q819" s="34"/>
      <c r="R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O820" s="34"/>
      <c r="P820" s="34"/>
      <c r="Q820" s="34"/>
      <c r="R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O821" s="34"/>
      <c r="P821" s="34"/>
      <c r="Q821" s="34"/>
      <c r="R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O822" s="34"/>
      <c r="P822" s="34"/>
      <c r="Q822" s="34"/>
      <c r="R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O823" s="34"/>
      <c r="P823" s="34"/>
      <c r="Q823" s="34"/>
      <c r="R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O824" s="34"/>
      <c r="P824" s="34"/>
      <c r="Q824" s="34"/>
      <c r="R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O825" s="34"/>
      <c r="P825" s="34"/>
      <c r="Q825" s="34"/>
      <c r="R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O826" s="34"/>
      <c r="P826" s="34"/>
      <c r="Q826" s="34"/>
      <c r="R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O827" s="34"/>
      <c r="P827" s="34"/>
      <c r="Q827" s="34"/>
      <c r="R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O828" s="34"/>
      <c r="P828" s="34"/>
      <c r="Q828" s="34"/>
      <c r="R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O829" s="34"/>
      <c r="P829" s="34"/>
      <c r="Q829" s="34"/>
      <c r="R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O830" s="34"/>
      <c r="P830" s="34"/>
      <c r="Q830" s="34"/>
      <c r="R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O831" s="34"/>
      <c r="P831" s="34"/>
      <c r="Q831" s="34"/>
      <c r="R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O832" s="34"/>
      <c r="P832" s="34"/>
      <c r="Q832" s="34"/>
      <c r="R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O833" s="34"/>
      <c r="P833" s="34"/>
      <c r="Q833" s="34"/>
      <c r="R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O834" s="34"/>
      <c r="P834" s="34"/>
      <c r="Q834" s="34"/>
      <c r="R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O835" s="34"/>
      <c r="P835" s="34"/>
      <c r="Q835" s="34"/>
      <c r="R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O836" s="34"/>
      <c r="P836" s="34"/>
      <c r="Q836" s="34"/>
      <c r="R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O837" s="34"/>
      <c r="P837" s="34"/>
      <c r="Q837" s="34"/>
      <c r="R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O838" s="34"/>
      <c r="P838" s="34"/>
      <c r="Q838" s="34"/>
      <c r="R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O839" s="34"/>
      <c r="P839" s="34"/>
      <c r="Q839" s="34"/>
      <c r="R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O840" s="34"/>
      <c r="P840" s="34"/>
      <c r="Q840" s="34"/>
      <c r="R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O841" s="34"/>
      <c r="P841" s="34"/>
      <c r="Q841" s="34"/>
      <c r="R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O842" s="34"/>
      <c r="P842" s="34"/>
      <c r="Q842" s="34"/>
      <c r="R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O843" s="34"/>
      <c r="P843" s="34"/>
      <c r="Q843" s="34"/>
      <c r="R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O844" s="34"/>
      <c r="P844" s="34"/>
      <c r="Q844" s="34"/>
      <c r="R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O845" s="34"/>
      <c r="P845" s="34"/>
      <c r="Q845" s="34"/>
      <c r="R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O846" s="34"/>
      <c r="P846" s="34"/>
      <c r="Q846" s="34"/>
      <c r="R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O847" s="34"/>
      <c r="P847" s="34"/>
      <c r="Q847" s="34"/>
      <c r="R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O848" s="34"/>
      <c r="P848" s="34"/>
      <c r="Q848" s="34"/>
      <c r="R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O849" s="34"/>
      <c r="P849" s="34"/>
      <c r="Q849" s="34"/>
      <c r="R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O850" s="34"/>
      <c r="P850" s="34"/>
      <c r="Q850" s="34"/>
      <c r="R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O851" s="34"/>
      <c r="P851" s="34"/>
      <c r="Q851" s="34"/>
      <c r="R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O852" s="34"/>
      <c r="P852" s="34"/>
      <c r="Q852" s="34"/>
      <c r="R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O853" s="34"/>
      <c r="P853" s="34"/>
      <c r="Q853" s="34"/>
      <c r="R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O854" s="34"/>
      <c r="P854" s="34"/>
      <c r="Q854" s="34"/>
      <c r="R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O855" s="34"/>
      <c r="P855" s="34"/>
      <c r="Q855" s="34"/>
      <c r="R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O856" s="34"/>
      <c r="P856" s="34"/>
      <c r="Q856" s="34"/>
      <c r="R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O857" s="34"/>
      <c r="P857" s="34"/>
      <c r="Q857" s="34"/>
      <c r="R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O858" s="34"/>
      <c r="P858" s="34"/>
      <c r="Q858" s="34"/>
      <c r="R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O859" s="34"/>
      <c r="P859" s="34"/>
      <c r="Q859" s="34"/>
      <c r="R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O860" s="34"/>
      <c r="P860" s="34"/>
      <c r="Q860" s="34"/>
      <c r="R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O861" s="34"/>
      <c r="P861" s="34"/>
      <c r="Q861" s="34"/>
      <c r="R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O862" s="34"/>
      <c r="P862" s="34"/>
      <c r="Q862" s="34"/>
      <c r="R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O863" s="34"/>
      <c r="P863" s="34"/>
      <c r="Q863" s="34"/>
      <c r="R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O864" s="34"/>
      <c r="P864" s="34"/>
      <c r="Q864" s="34"/>
      <c r="R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O865" s="34"/>
      <c r="P865" s="34"/>
      <c r="Q865" s="34"/>
      <c r="R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O866" s="34"/>
      <c r="P866" s="34"/>
      <c r="Q866" s="34"/>
      <c r="R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O867" s="34"/>
      <c r="P867" s="34"/>
      <c r="Q867" s="34"/>
      <c r="R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O868" s="34"/>
      <c r="P868" s="34"/>
      <c r="Q868" s="34"/>
      <c r="R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O869" s="34"/>
      <c r="P869" s="34"/>
      <c r="Q869" s="34"/>
      <c r="R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O870" s="34"/>
      <c r="P870" s="34"/>
      <c r="Q870" s="34"/>
      <c r="R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O871" s="34"/>
      <c r="P871" s="34"/>
      <c r="Q871" s="34"/>
      <c r="R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O872" s="34"/>
      <c r="P872" s="34"/>
      <c r="Q872" s="34"/>
      <c r="R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O873" s="34"/>
      <c r="P873" s="34"/>
      <c r="Q873" s="34"/>
      <c r="R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O874" s="34"/>
      <c r="P874" s="34"/>
      <c r="Q874" s="34"/>
      <c r="R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O875" s="34"/>
      <c r="P875" s="34"/>
      <c r="Q875" s="34"/>
      <c r="R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O876" s="34"/>
      <c r="P876" s="34"/>
      <c r="Q876" s="34"/>
      <c r="R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O877" s="34"/>
      <c r="P877" s="34"/>
      <c r="Q877" s="34"/>
      <c r="R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O878" s="34"/>
      <c r="P878" s="34"/>
      <c r="Q878" s="34"/>
      <c r="R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O879" s="34"/>
      <c r="P879" s="34"/>
      <c r="Q879" s="34"/>
      <c r="R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O880" s="34"/>
      <c r="P880" s="34"/>
      <c r="Q880" s="34"/>
      <c r="R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O881" s="34"/>
      <c r="P881" s="34"/>
      <c r="Q881" s="34"/>
      <c r="R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O882" s="34"/>
      <c r="P882" s="34"/>
      <c r="Q882" s="34"/>
      <c r="R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O883" s="34"/>
      <c r="P883" s="34"/>
      <c r="Q883" s="34"/>
      <c r="R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O884" s="34"/>
      <c r="P884" s="34"/>
      <c r="Q884" s="34"/>
      <c r="R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O885" s="34"/>
      <c r="P885" s="34"/>
      <c r="Q885" s="34"/>
      <c r="R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O886" s="34"/>
      <c r="P886" s="34"/>
      <c r="Q886" s="34"/>
      <c r="R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O887" s="34"/>
      <c r="P887" s="34"/>
      <c r="Q887" s="34"/>
      <c r="R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O888" s="34"/>
      <c r="P888" s="34"/>
      <c r="Q888" s="34"/>
      <c r="R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O889" s="34"/>
      <c r="P889" s="34"/>
      <c r="Q889" s="34"/>
      <c r="R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O890" s="34"/>
      <c r="P890" s="34"/>
      <c r="Q890" s="34"/>
      <c r="R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O891" s="34"/>
      <c r="P891" s="34"/>
      <c r="Q891" s="34"/>
      <c r="R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O892" s="34"/>
      <c r="P892" s="34"/>
      <c r="Q892" s="34"/>
      <c r="R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O893" s="34"/>
      <c r="P893" s="34"/>
      <c r="Q893" s="34"/>
      <c r="R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O894" s="34"/>
      <c r="P894" s="34"/>
      <c r="Q894" s="34"/>
      <c r="R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O895" s="34"/>
      <c r="P895" s="34"/>
      <c r="Q895" s="34"/>
      <c r="R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O896" s="34"/>
      <c r="P896" s="34"/>
      <c r="Q896" s="34"/>
      <c r="R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O897" s="34"/>
      <c r="P897" s="34"/>
      <c r="Q897" s="34"/>
      <c r="R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O898" s="34"/>
      <c r="P898" s="34"/>
      <c r="Q898" s="34"/>
      <c r="R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O899" s="34"/>
      <c r="P899" s="34"/>
      <c r="Q899" s="34"/>
      <c r="R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O900" s="34"/>
      <c r="P900" s="34"/>
      <c r="Q900" s="34"/>
      <c r="R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O901" s="34"/>
      <c r="P901" s="34"/>
      <c r="Q901" s="34"/>
      <c r="R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O902" s="34"/>
      <c r="P902" s="34"/>
      <c r="Q902" s="34"/>
      <c r="R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O903" s="34"/>
      <c r="P903" s="34"/>
      <c r="Q903" s="34"/>
      <c r="R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O904" s="34"/>
      <c r="P904" s="34"/>
      <c r="Q904" s="34"/>
      <c r="R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O905" s="34"/>
      <c r="P905" s="34"/>
      <c r="Q905" s="34"/>
      <c r="R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O906" s="34"/>
      <c r="P906" s="34"/>
      <c r="Q906" s="34"/>
      <c r="R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O907" s="34"/>
      <c r="P907" s="34"/>
      <c r="Q907" s="34"/>
      <c r="R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O908" s="34"/>
      <c r="P908" s="34"/>
      <c r="Q908" s="34"/>
      <c r="R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O909" s="34"/>
      <c r="P909" s="34"/>
      <c r="Q909" s="34"/>
      <c r="R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O910" s="34"/>
      <c r="P910" s="34"/>
      <c r="Q910" s="34"/>
      <c r="R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O911" s="34"/>
      <c r="P911" s="34"/>
      <c r="Q911" s="34"/>
      <c r="R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O912" s="34"/>
      <c r="P912" s="34"/>
      <c r="Q912" s="34"/>
      <c r="R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O913" s="34"/>
      <c r="P913" s="34"/>
      <c r="Q913" s="34"/>
      <c r="R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O914" s="34"/>
      <c r="P914" s="34"/>
      <c r="Q914" s="34"/>
      <c r="R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O915" s="34"/>
      <c r="P915" s="34"/>
      <c r="Q915" s="34"/>
      <c r="R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O916" s="34"/>
      <c r="P916" s="34"/>
      <c r="Q916" s="34"/>
      <c r="R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O917" s="34"/>
      <c r="P917" s="34"/>
      <c r="Q917" s="34"/>
      <c r="R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O918" s="34"/>
      <c r="P918" s="34"/>
      <c r="Q918" s="34"/>
      <c r="R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O919" s="34"/>
      <c r="P919" s="34"/>
      <c r="Q919" s="34"/>
      <c r="R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O920" s="34"/>
      <c r="P920" s="34"/>
      <c r="Q920" s="34"/>
      <c r="R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O921" s="34"/>
      <c r="P921" s="34"/>
      <c r="Q921" s="34"/>
      <c r="R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O922" s="34"/>
      <c r="P922" s="34"/>
      <c r="Q922" s="34"/>
      <c r="R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O923" s="34"/>
      <c r="P923" s="34"/>
      <c r="Q923" s="34"/>
      <c r="R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O924" s="34"/>
      <c r="P924" s="34"/>
      <c r="Q924" s="34"/>
      <c r="R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O925" s="34"/>
      <c r="P925" s="34"/>
      <c r="Q925" s="34"/>
      <c r="R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O926" s="34"/>
      <c r="P926" s="34"/>
      <c r="Q926" s="34"/>
      <c r="R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O927" s="34"/>
      <c r="P927" s="34"/>
      <c r="Q927" s="34"/>
      <c r="R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O928" s="34"/>
      <c r="P928" s="34"/>
      <c r="Q928" s="34"/>
      <c r="R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O929" s="34"/>
      <c r="P929" s="34"/>
      <c r="Q929" s="34"/>
      <c r="R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O930" s="34"/>
      <c r="P930" s="34"/>
      <c r="Q930" s="34"/>
      <c r="R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O931" s="34"/>
      <c r="P931" s="34"/>
      <c r="Q931" s="34"/>
      <c r="R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O932" s="34"/>
      <c r="P932" s="34"/>
      <c r="Q932" s="34"/>
      <c r="R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O933" s="34"/>
      <c r="P933" s="34"/>
      <c r="Q933" s="34"/>
      <c r="R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O934" s="34"/>
      <c r="P934" s="34"/>
      <c r="Q934" s="34"/>
      <c r="R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O935" s="34"/>
      <c r="P935" s="34"/>
      <c r="Q935" s="34"/>
      <c r="R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O936" s="34"/>
      <c r="P936" s="34"/>
      <c r="Q936" s="34"/>
      <c r="R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O937" s="34"/>
      <c r="P937" s="34"/>
      <c r="Q937" s="34"/>
      <c r="R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O938" s="34"/>
      <c r="P938" s="34"/>
      <c r="Q938" s="34"/>
      <c r="R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O939" s="34"/>
      <c r="P939" s="34"/>
      <c r="Q939" s="34"/>
      <c r="R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O940" s="34"/>
      <c r="P940" s="34"/>
      <c r="Q940" s="34"/>
      <c r="R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O941" s="34"/>
      <c r="P941" s="34"/>
      <c r="Q941" s="34"/>
      <c r="R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O942" s="34"/>
      <c r="P942" s="34"/>
      <c r="Q942" s="34"/>
      <c r="R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O943" s="34"/>
      <c r="P943" s="34"/>
      <c r="Q943" s="34"/>
      <c r="R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O944" s="34"/>
      <c r="P944" s="34"/>
      <c r="Q944" s="34"/>
      <c r="R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O945" s="34"/>
      <c r="P945" s="34"/>
      <c r="Q945" s="34"/>
      <c r="R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O946" s="34"/>
      <c r="P946" s="34"/>
      <c r="Q946" s="34"/>
      <c r="R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O947" s="34"/>
      <c r="P947" s="34"/>
      <c r="Q947" s="34"/>
      <c r="R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O948" s="34"/>
      <c r="P948" s="34"/>
      <c r="Q948" s="34"/>
      <c r="R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O949" s="34"/>
      <c r="P949" s="34"/>
      <c r="Q949" s="34"/>
      <c r="R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O950" s="34"/>
      <c r="P950" s="34"/>
      <c r="Q950" s="34"/>
      <c r="R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O951" s="34"/>
      <c r="P951" s="34"/>
      <c r="Q951" s="34"/>
      <c r="R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O952" s="34"/>
      <c r="P952" s="34"/>
      <c r="Q952" s="34"/>
      <c r="R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O953" s="34"/>
      <c r="P953" s="34"/>
      <c r="Q953" s="34"/>
      <c r="R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O954" s="34"/>
      <c r="P954" s="34"/>
      <c r="Q954" s="34"/>
      <c r="R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O955" s="34"/>
      <c r="P955" s="34"/>
      <c r="Q955" s="34"/>
      <c r="R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O956" s="34"/>
      <c r="P956" s="34"/>
      <c r="Q956" s="34"/>
      <c r="R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O957" s="34"/>
      <c r="P957" s="34"/>
      <c r="Q957" s="34"/>
      <c r="R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O958" s="34"/>
      <c r="P958" s="34"/>
      <c r="Q958" s="34"/>
      <c r="R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O959" s="34"/>
      <c r="P959" s="34"/>
      <c r="Q959" s="34"/>
      <c r="R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O960" s="34"/>
      <c r="P960" s="34"/>
      <c r="Q960" s="34"/>
      <c r="R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O961" s="34"/>
      <c r="P961" s="34"/>
      <c r="Q961" s="34"/>
      <c r="R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O962" s="34"/>
      <c r="P962" s="34"/>
      <c r="Q962" s="34"/>
      <c r="R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O963" s="34"/>
      <c r="P963" s="34"/>
      <c r="Q963" s="34"/>
      <c r="R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O964" s="34"/>
      <c r="P964" s="34"/>
      <c r="Q964" s="34"/>
      <c r="R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O965" s="34"/>
      <c r="P965" s="34"/>
      <c r="Q965" s="34"/>
      <c r="R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O966" s="34"/>
      <c r="P966" s="34"/>
      <c r="Q966" s="34"/>
      <c r="R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O967" s="34"/>
      <c r="P967" s="34"/>
      <c r="Q967" s="34"/>
      <c r="R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O968" s="34"/>
      <c r="P968" s="34"/>
      <c r="Q968" s="34"/>
      <c r="R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O969" s="34"/>
      <c r="P969" s="34"/>
      <c r="Q969" s="34"/>
      <c r="R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O970" s="34"/>
      <c r="P970" s="34"/>
      <c r="Q970" s="34"/>
      <c r="R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O971" s="34"/>
      <c r="P971" s="34"/>
      <c r="Q971" s="34"/>
      <c r="R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O972" s="34"/>
      <c r="P972" s="34"/>
      <c r="Q972" s="34"/>
      <c r="R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O973" s="34"/>
      <c r="P973" s="34"/>
      <c r="Q973" s="34"/>
      <c r="R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O974" s="34"/>
      <c r="P974" s="34"/>
      <c r="Q974" s="34"/>
      <c r="R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O975" s="34"/>
      <c r="P975" s="34"/>
      <c r="Q975" s="34"/>
      <c r="R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O976" s="34"/>
      <c r="P976" s="34"/>
      <c r="Q976" s="34"/>
      <c r="R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O977" s="34"/>
      <c r="P977" s="34"/>
      <c r="Q977" s="34"/>
      <c r="R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O978" s="34"/>
      <c r="P978" s="34"/>
      <c r="Q978" s="34"/>
      <c r="R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O979" s="34"/>
      <c r="P979" s="34"/>
      <c r="Q979" s="34"/>
      <c r="R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O980" s="34"/>
      <c r="P980" s="34"/>
      <c r="Q980" s="34"/>
      <c r="R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O981" s="34"/>
      <c r="P981" s="34"/>
      <c r="Q981" s="34"/>
      <c r="R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O982" s="34"/>
      <c r="P982" s="34"/>
      <c r="Q982" s="34"/>
      <c r="R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O983" s="34"/>
      <c r="P983" s="34"/>
      <c r="Q983" s="34"/>
      <c r="R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O984" s="34"/>
      <c r="P984" s="34"/>
      <c r="Q984" s="34"/>
      <c r="R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O985" s="34"/>
      <c r="P985" s="34"/>
      <c r="Q985" s="34"/>
      <c r="R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O986" s="34"/>
      <c r="P986" s="34"/>
      <c r="Q986" s="34"/>
      <c r="R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O987" s="34"/>
      <c r="P987" s="34"/>
      <c r="Q987" s="34"/>
      <c r="R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O988" s="34"/>
      <c r="P988" s="34"/>
      <c r="Q988" s="34"/>
      <c r="R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O989" s="34"/>
      <c r="P989" s="34"/>
      <c r="Q989" s="34"/>
      <c r="R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O990" s="34"/>
      <c r="P990" s="34"/>
      <c r="Q990" s="34"/>
      <c r="R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O991" s="34"/>
      <c r="P991" s="34"/>
      <c r="Q991" s="34"/>
      <c r="R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O992" s="34"/>
      <c r="P992" s="34"/>
      <c r="Q992" s="34"/>
      <c r="R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O993" s="34"/>
      <c r="P993" s="34"/>
      <c r="Q993" s="34"/>
      <c r="R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O994" s="34"/>
      <c r="P994" s="34"/>
      <c r="Q994" s="34"/>
      <c r="R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O995" s="34"/>
      <c r="P995" s="34"/>
      <c r="Q995" s="34"/>
      <c r="R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O996" s="34"/>
      <c r="P996" s="34"/>
      <c r="Q996" s="34"/>
      <c r="R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O997" s="34"/>
      <c r="P997" s="34"/>
      <c r="Q997" s="34"/>
      <c r="R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O998" s="34"/>
      <c r="P998" s="34"/>
      <c r="Q998" s="34"/>
      <c r="R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O999" s="34"/>
      <c r="P999" s="34"/>
      <c r="Q999" s="34"/>
      <c r="R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O1000" s="34"/>
      <c r="P1000" s="34"/>
      <c r="Q1000" s="34"/>
      <c r="R1000" s="34"/>
    </row>
  </sheetData>
  <conditionalFormatting sqref="A13:L208">
    <cfRule type="cellIs" dxfId="0" priority="1" operator="greaterThan">
      <formula>0.6</formula>
    </cfRule>
  </conditionalFormatting>
  <conditionalFormatting sqref="A13:L208">
    <cfRule type="cellIs" dxfId="1" priority="2" operator="lessThan">
      <formula>-0.6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10" max="10" width="3.75"/>
    <col customWidth="1" min="12" max="12" width="3.88"/>
    <col customWidth="1" min="13" max="13" width="26.25"/>
    <col customWidth="1" min="14" max="14" width="3.13"/>
    <col customWidth="1" min="16" max="16" width="3.38"/>
    <col customWidth="1" min="18" max="18" width="3.13"/>
    <col customWidth="1" min="20" max="20" width="3.75"/>
    <col customWidth="1" min="22" max="22" width="3.63"/>
    <col customWidth="1" min="24" max="24" width="3.5"/>
  </cols>
  <sheetData>
    <row r="1">
      <c r="A1" s="70" t="s">
        <v>49</v>
      </c>
      <c r="C1" s="34"/>
      <c r="D1" s="34"/>
      <c r="E1" s="34"/>
      <c r="F1" s="34"/>
      <c r="G1" s="34"/>
      <c r="H1" s="34"/>
      <c r="I1" s="65"/>
      <c r="K1" s="71" t="s">
        <v>57</v>
      </c>
      <c r="N1" s="72"/>
      <c r="O1" s="73" t="s">
        <v>58</v>
      </c>
      <c r="Q1" s="74"/>
      <c r="S1" s="71" t="s">
        <v>59</v>
      </c>
      <c r="W1" s="73" t="s">
        <v>60</v>
      </c>
      <c r="Y1" s="74"/>
    </row>
    <row r="2">
      <c r="A2" s="75"/>
      <c r="B2" s="35"/>
      <c r="C2" s="34"/>
      <c r="D2" s="34"/>
      <c r="E2" s="34"/>
      <c r="F2" s="34"/>
      <c r="G2" s="34"/>
      <c r="H2" s="34"/>
      <c r="I2" s="65"/>
      <c r="K2" s="72"/>
      <c r="L2" s="72"/>
      <c r="M2" s="76" t="s">
        <v>61</v>
      </c>
      <c r="N2" s="72"/>
      <c r="O2" s="77"/>
      <c r="P2" s="77"/>
      <c r="Q2" s="78" t="s">
        <v>62</v>
      </c>
      <c r="S2" s="72"/>
      <c r="T2" s="72"/>
      <c r="U2" s="79" t="s">
        <v>63</v>
      </c>
      <c r="W2" s="77"/>
      <c r="X2" s="77"/>
      <c r="Y2" s="80" t="s">
        <v>61</v>
      </c>
    </row>
    <row r="3">
      <c r="A3" s="81"/>
      <c r="B3" s="82" t="s">
        <v>64</v>
      </c>
      <c r="C3" s="82" t="s">
        <v>65</v>
      </c>
      <c r="D3" s="82" t="s">
        <v>66</v>
      </c>
      <c r="E3" s="82" t="s">
        <v>67</v>
      </c>
      <c r="F3" s="34"/>
      <c r="G3" s="35" t="s">
        <v>42</v>
      </c>
      <c r="H3" s="35" t="s">
        <v>48</v>
      </c>
      <c r="I3" s="83"/>
      <c r="K3" s="72"/>
      <c r="L3" s="84"/>
      <c r="M3" s="85"/>
      <c r="N3" s="72"/>
      <c r="O3" s="77"/>
      <c r="P3" s="86"/>
      <c r="Q3" s="87"/>
      <c r="S3" s="72"/>
      <c r="T3" s="86"/>
      <c r="U3" s="87"/>
      <c r="W3" s="77"/>
      <c r="X3" s="86"/>
      <c r="Y3" s="88"/>
    </row>
    <row r="4">
      <c r="A4" s="89" t="s">
        <v>19</v>
      </c>
      <c r="B4" s="39">
        <v>-0.92745</v>
      </c>
      <c r="C4" s="39">
        <v>0.040608</v>
      </c>
      <c r="D4" s="40">
        <v>-0.10402</v>
      </c>
      <c r="E4" s="34">
        <f>B4</f>
        <v>-0.92745</v>
      </c>
      <c r="F4" s="34"/>
      <c r="G4" s="47">
        <v>0.872626</v>
      </c>
      <c r="H4" s="40">
        <v>0.127374</v>
      </c>
      <c r="I4" s="90"/>
      <c r="K4" s="82" t="s">
        <v>64</v>
      </c>
      <c r="L4" s="72"/>
      <c r="M4" s="76" t="s">
        <v>68</v>
      </c>
      <c r="N4" s="72"/>
      <c r="O4" s="82" t="s">
        <v>69</v>
      </c>
      <c r="P4" s="77"/>
      <c r="S4" s="82" t="s">
        <v>70</v>
      </c>
      <c r="T4" s="77"/>
      <c r="W4" s="91" t="s">
        <v>11</v>
      </c>
      <c r="X4" s="77"/>
    </row>
    <row r="5">
      <c r="A5" s="92" t="s">
        <v>20</v>
      </c>
      <c r="B5" s="42">
        <v>0.82407</v>
      </c>
      <c r="C5" s="42">
        <v>-0.39556</v>
      </c>
      <c r="D5" s="43">
        <v>-0.17349</v>
      </c>
      <c r="E5" s="93"/>
      <c r="F5" s="34"/>
      <c r="G5" s="48">
        <v>0.865654</v>
      </c>
      <c r="H5" s="43">
        <v>0.134346</v>
      </c>
      <c r="I5" s="90"/>
      <c r="K5" s="72"/>
      <c r="L5" s="94"/>
      <c r="M5" s="85"/>
      <c r="N5" s="72"/>
      <c r="O5" s="77"/>
      <c r="P5" s="95"/>
      <c r="Q5" s="96" t="s">
        <v>71</v>
      </c>
      <c r="S5" s="72"/>
      <c r="T5" s="95"/>
      <c r="U5" s="97" t="s">
        <v>72</v>
      </c>
      <c r="W5" s="77"/>
      <c r="X5" s="95"/>
      <c r="Y5" s="80" t="s">
        <v>73</v>
      </c>
    </row>
    <row r="6">
      <c r="A6" s="92" t="s">
        <v>21</v>
      </c>
      <c r="B6" s="42">
        <v>0.695053</v>
      </c>
      <c r="C6" s="42">
        <v>-0.61596</v>
      </c>
      <c r="D6" s="43">
        <v>-0.22206</v>
      </c>
      <c r="E6" s="93"/>
      <c r="F6" s="34"/>
      <c r="G6" s="48">
        <v>0.911816</v>
      </c>
      <c r="H6" s="43">
        <v>0.088184</v>
      </c>
      <c r="I6" s="90"/>
      <c r="K6" s="72"/>
      <c r="L6" s="98"/>
      <c r="M6" s="76" t="s">
        <v>74</v>
      </c>
      <c r="N6" s="72"/>
      <c r="O6" s="77"/>
      <c r="P6" s="99"/>
      <c r="Q6" s="100"/>
      <c r="S6" s="72"/>
      <c r="T6" s="72"/>
      <c r="U6" s="100"/>
      <c r="W6" s="77"/>
      <c r="Y6" s="88"/>
    </row>
    <row r="7">
      <c r="A7" s="92" t="s">
        <v>22</v>
      </c>
      <c r="B7" s="42">
        <v>0.08505</v>
      </c>
      <c r="C7" s="42">
        <v>-0.09433</v>
      </c>
      <c r="D7" s="43">
        <v>0.972225</v>
      </c>
      <c r="E7" s="93"/>
      <c r="F7" s="34"/>
      <c r="G7" s="48">
        <v>0.961353</v>
      </c>
      <c r="H7" s="43">
        <v>0.038647</v>
      </c>
      <c r="I7" s="90"/>
      <c r="K7" s="72"/>
      <c r="L7" s="94"/>
      <c r="M7" s="85"/>
      <c r="N7" s="72"/>
      <c r="O7" s="77"/>
      <c r="P7" s="99"/>
      <c r="Q7" s="77"/>
      <c r="S7" s="72"/>
      <c r="T7" s="72"/>
      <c r="U7" s="85"/>
    </row>
    <row r="8">
      <c r="A8" s="92" t="s">
        <v>23</v>
      </c>
      <c r="B8" s="42">
        <v>0.034886</v>
      </c>
      <c r="C8" s="42">
        <v>-0.11593</v>
      </c>
      <c r="D8" s="43">
        <v>0.974155</v>
      </c>
      <c r="E8" s="93"/>
      <c r="F8" s="34"/>
      <c r="G8" s="48">
        <v>0.963635</v>
      </c>
      <c r="H8" s="43">
        <v>0.036365</v>
      </c>
      <c r="I8" s="90"/>
      <c r="K8" s="71"/>
      <c r="L8" s="98"/>
      <c r="M8" s="76" t="s">
        <v>75</v>
      </c>
      <c r="N8" s="101"/>
      <c r="O8" s="77"/>
      <c r="P8" s="95"/>
      <c r="Q8" s="96" t="s">
        <v>25</v>
      </c>
      <c r="S8" s="72"/>
      <c r="T8" s="72"/>
      <c r="U8" s="72"/>
      <c r="V8" s="72"/>
    </row>
    <row r="9">
      <c r="A9" s="92" t="s">
        <v>24</v>
      </c>
      <c r="B9" s="42">
        <v>0.050919</v>
      </c>
      <c r="C9" s="42">
        <v>0.934786</v>
      </c>
      <c r="D9" s="43">
        <v>-0.21078</v>
      </c>
      <c r="E9" s="93"/>
      <c r="F9" s="34"/>
      <c r="G9" s="48">
        <v>0.920845</v>
      </c>
      <c r="H9" s="43">
        <v>0.079155</v>
      </c>
      <c r="I9" s="90"/>
      <c r="L9" s="102"/>
      <c r="O9" s="77"/>
      <c r="P9" s="77"/>
      <c r="Q9" s="100"/>
      <c r="S9" s="72"/>
      <c r="T9" s="72"/>
      <c r="U9" s="72"/>
      <c r="V9" s="72"/>
    </row>
    <row r="10">
      <c r="A10" s="103" t="s">
        <v>76</v>
      </c>
      <c r="B10" s="42">
        <v>-0.12681</v>
      </c>
      <c r="C10" s="42">
        <v>0.918041</v>
      </c>
      <c r="D10" s="43">
        <v>-0.09597</v>
      </c>
      <c r="E10" s="93"/>
      <c r="F10" s="34"/>
      <c r="G10" s="48">
        <v>0.868092</v>
      </c>
      <c r="H10" s="43">
        <v>0.131908</v>
      </c>
      <c r="I10" s="90"/>
      <c r="L10" s="104"/>
      <c r="M10" s="76" t="s">
        <v>77</v>
      </c>
      <c r="S10" s="72"/>
      <c r="T10" s="72"/>
      <c r="U10" s="72"/>
      <c r="V10" s="72"/>
    </row>
    <row r="11">
      <c r="A11" s="92" t="s">
        <v>26</v>
      </c>
      <c r="B11" s="42">
        <v>0.915009</v>
      </c>
      <c r="C11" s="42">
        <v>-0.09296</v>
      </c>
      <c r="D11" s="43">
        <v>0.041623</v>
      </c>
      <c r="E11" s="93"/>
      <c r="F11" s="34"/>
      <c r="G11" s="48">
        <v>0.847616</v>
      </c>
      <c r="H11" s="43">
        <v>0.152384</v>
      </c>
      <c r="I11" s="90"/>
      <c r="L11" s="105"/>
    </row>
    <row r="12">
      <c r="A12" s="92" t="s">
        <v>27</v>
      </c>
      <c r="B12" s="42">
        <v>0.930239</v>
      </c>
      <c r="C12" s="42">
        <v>-0.10195</v>
      </c>
      <c r="D12" s="43">
        <v>0.087996</v>
      </c>
      <c r="E12" s="93"/>
      <c r="F12" s="34"/>
      <c r="G12" s="48">
        <v>0.883482</v>
      </c>
      <c r="H12" s="43">
        <v>0.116518</v>
      </c>
      <c r="I12" s="90"/>
      <c r="L12" s="104"/>
      <c r="M12" s="76" t="s">
        <v>78</v>
      </c>
    </row>
    <row r="13">
      <c r="A13" s="106" t="s">
        <v>28</v>
      </c>
      <c r="B13" s="45">
        <v>-0.83475</v>
      </c>
      <c r="C13" s="45">
        <v>-0.3043</v>
      </c>
      <c r="D13" s="46">
        <v>-0.1744</v>
      </c>
      <c r="E13" s="93">
        <f>B13</f>
        <v>-0.83475</v>
      </c>
      <c r="F13" s="34"/>
      <c r="G13" s="49">
        <v>0.819817</v>
      </c>
      <c r="H13" s="46">
        <v>0.180183</v>
      </c>
      <c r="I13" s="90"/>
    </row>
    <row r="14">
      <c r="A14" s="81"/>
      <c r="B14" s="42">
        <v>4.448863</v>
      </c>
      <c r="C14" s="42">
        <v>2.388118</v>
      </c>
      <c r="D14" s="42">
        <v>2.077956</v>
      </c>
      <c r="E14" s="93"/>
      <c r="F14" s="34"/>
      <c r="G14" s="42">
        <v>8.914937</v>
      </c>
      <c r="H14" s="42">
        <v>1.085063</v>
      </c>
      <c r="I14" s="90"/>
      <c r="K14" s="107"/>
    </row>
    <row r="15">
      <c r="A15" s="70"/>
      <c r="K15" s="107"/>
    </row>
    <row r="16">
      <c r="A16" s="70"/>
      <c r="K16" s="107"/>
    </row>
    <row r="17">
      <c r="A17" s="70"/>
      <c r="K17" s="107"/>
    </row>
    <row r="18">
      <c r="A18" s="70"/>
      <c r="K18" s="107"/>
    </row>
    <row r="19">
      <c r="A19" s="70"/>
      <c r="K19" s="107"/>
    </row>
    <row r="20">
      <c r="A20" s="70"/>
      <c r="K20" s="107"/>
    </row>
    <row r="21">
      <c r="A21" s="70"/>
      <c r="K21" s="107"/>
    </row>
    <row r="22">
      <c r="A22" s="70"/>
      <c r="K22" s="107"/>
    </row>
    <row r="23">
      <c r="A23" s="70"/>
      <c r="K23" s="107"/>
    </row>
    <row r="24">
      <c r="A24" s="70"/>
      <c r="K24" s="107"/>
    </row>
    <row r="25">
      <c r="A25" s="70"/>
      <c r="K25" s="107"/>
    </row>
    <row r="26">
      <c r="A26" s="70"/>
      <c r="K26" s="107"/>
    </row>
    <row r="27">
      <c r="A27" s="70"/>
      <c r="K27" s="107"/>
    </row>
    <row r="28">
      <c r="A28" s="70"/>
      <c r="K28" s="107"/>
    </row>
    <row r="29">
      <c r="A29" s="70"/>
      <c r="K29" s="107"/>
    </row>
    <row r="30">
      <c r="A30" s="70"/>
      <c r="K30" s="107"/>
    </row>
    <row r="31">
      <c r="A31" s="70"/>
      <c r="K31" s="107"/>
    </row>
    <row r="32">
      <c r="A32" s="70"/>
      <c r="K32" s="107"/>
    </row>
    <row r="33">
      <c r="A33" s="70"/>
      <c r="K33" s="107"/>
    </row>
    <row r="34">
      <c r="A34" s="70"/>
      <c r="K34" s="107"/>
    </row>
    <row r="35">
      <c r="A35" s="70"/>
      <c r="K35" s="107"/>
    </row>
    <row r="36">
      <c r="A36" s="70"/>
      <c r="K36" s="107"/>
    </row>
    <row r="37">
      <c r="A37" s="70"/>
    </row>
    <row r="38">
      <c r="A38" s="70"/>
    </row>
    <row r="39">
      <c r="A39" s="70"/>
    </row>
    <row r="40">
      <c r="A40" s="70"/>
    </row>
    <row r="41">
      <c r="A41" s="70"/>
    </row>
    <row r="42">
      <c r="A42" s="70"/>
    </row>
    <row r="43">
      <c r="A43" s="70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0">
      <c r="A60" s="70"/>
    </row>
    <row r="61">
      <c r="A61" s="70"/>
    </row>
    <row r="62">
      <c r="A62" s="70"/>
    </row>
    <row r="63">
      <c r="A63" s="70"/>
    </row>
    <row r="64">
      <c r="A64" s="70"/>
    </row>
    <row r="65">
      <c r="A65" s="70"/>
    </row>
    <row r="66">
      <c r="A66" s="70"/>
    </row>
    <row r="67">
      <c r="A67" s="70"/>
    </row>
    <row r="68">
      <c r="A68" s="70"/>
    </row>
    <row r="69">
      <c r="A69" s="70"/>
    </row>
    <row r="70">
      <c r="A70" s="70"/>
    </row>
    <row r="71">
      <c r="A71" s="70"/>
    </row>
    <row r="72">
      <c r="A72" s="70"/>
    </row>
    <row r="73">
      <c r="A73" s="70"/>
    </row>
    <row r="74">
      <c r="A74" s="70"/>
    </row>
    <row r="75">
      <c r="A75" s="70"/>
    </row>
    <row r="76">
      <c r="A76" s="70"/>
    </row>
    <row r="77">
      <c r="A77" s="70"/>
    </row>
    <row r="78">
      <c r="A78" s="70"/>
    </row>
    <row r="79">
      <c r="A79" s="70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70"/>
    </row>
    <row r="87">
      <c r="A87" s="70"/>
    </row>
    <row r="88">
      <c r="A88" s="70"/>
    </row>
    <row r="89">
      <c r="A89" s="70"/>
    </row>
    <row r="90">
      <c r="A90" s="70"/>
    </row>
    <row r="91">
      <c r="A91" s="70"/>
    </row>
    <row r="92">
      <c r="A92" s="70"/>
    </row>
    <row r="93">
      <c r="A93" s="70"/>
    </row>
    <row r="94">
      <c r="A94" s="70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  <row r="983">
      <c r="A983" s="70"/>
    </row>
    <row r="984">
      <c r="A984" s="70"/>
    </row>
    <row r="985">
      <c r="A985" s="70"/>
    </row>
    <row r="986">
      <c r="A986" s="70"/>
    </row>
    <row r="987">
      <c r="A987" s="70"/>
    </row>
    <row r="988">
      <c r="A988" s="70"/>
    </row>
    <row r="989">
      <c r="A989" s="70"/>
    </row>
    <row r="990">
      <c r="A990" s="70"/>
    </row>
    <row r="991">
      <c r="A991" s="70"/>
    </row>
    <row r="992">
      <c r="A992" s="70"/>
    </row>
    <row r="993">
      <c r="A993" s="70"/>
    </row>
    <row r="994">
      <c r="A994" s="70"/>
    </row>
    <row r="995">
      <c r="A995" s="70"/>
    </row>
    <row r="996">
      <c r="A996" s="70"/>
    </row>
    <row r="997">
      <c r="A997" s="70"/>
    </row>
    <row r="998">
      <c r="A998" s="70"/>
    </row>
    <row r="999">
      <c r="A999" s="70"/>
    </row>
    <row r="1000">
      <c r="A1000" s="70"/>
    </row>
  </sheetData>
  <mergeCells count="30">
    <mergeCell ref="Q2:Q3"/>
    <mergeCell ref="U2:U3"/>
    <mergeCell ref="Y2:Y3"/>
    <mergeCell ref="Q5:Q6"/>
    <mergeCell ref="U5:U6"/>
    <mergeCell ref="Y5:Y6"/>
    <mergeCell ref="Q8:Q9"/>
    <mergeCell ref="K14:Y14"/>
    <mergeCell ref="K15:Y15"/>
    <mergeCell ref="K16:Y16"/>
    <mergeCell ref="K17:Y17"/>
    <mergeCell ref="K18:Y18"/>
    <mergeCell ref="K19:Y19"/>
    <mergeCell ref="K20:Y20"/>
    <mergeCell ref="K21:Y21"/>
    <mergeCell ref="K22:Y22"/>
    <mergeCell ref="K23:Y23"/>
    <mergeCell ref="K24:Y24"/>
    <mergeCell ref="K25:Y25"/>
    <mergeCell ref="K26:Y26"/>
    <mergeCell ref="K27:Y27"/>
    <mergeCell ref="K35:Y35"/>
    <mergeCell ref="K36:Y36"/>
    <mergeCell ref="K28:Y28"/>
    <mergeCell ref="K29:Y29"/>
    <mergeCell ref="K30:Y30"/>
    <mergeCell ref="K31:Y31"/>
    <mergeCell ref="K32:Y32"/>
    <mergeCell ref="K33:Y33"/>
    <mergeCell ref="K34:Y34"/>
  </mergeCells>
  <conditionalFormatting sqref="A1:A14 B1:E2 F1:H14 B4:E14">
    <cfRule type="cellIs" dxfId="0" priority="1" operator="greaterThan">
      <formula>0.6</formula>
    </cfRule>
  </conditionalFormatting>
  <conditionalFormatting sqref="A1:A14 B1:E2 F1:H14 B4:E14">
    <cfRule type="cellIs" dxfId="1" priority="2" operator="lessThan">
      <formula>-0.6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 t="s">
        <v>79</v>
      </c>
      <c r="B1" s="108" t="s">
        <v>80</v>
      </c>
      <c r="C1" s="108" t="s">
        <v>81</v>
      </c>
      <c r="D1" s="108" t="s">
        <v>82</v>
      </c>
      <c r="E1" s="108" t="s">
        <v>83</v>
      </c>
      <c r="F1" s="108" t="s">
        <v>84</v>
      </c>
      <c r="G1" s="108" t="s">
        <v>85</v>
      </c>
      <c r="H1" s="108" t="s">
        <v>86</v>
      </c>
      <c r="I1" s="108" t="s">
        <v>87</v>
      </c>
      <c r="J1" s="108" t="s">
        <v>88</v>
      </c>
      <c r="K1" s="108" t="s">
        <v>89</v>
      </c>
      <c r="L1" s="108" t="s">
        <v>90</v>
      </c>
    </row>
    <row r="2">
      <c r="A2" s="108" t="s">
        <v>91</v>
      </c>
      <c r="B2" s="108">
        <v>2.0</v>
      </c>
      <c r="C2" s="108">
        <v>2.0</v>
      </c>
      <c r="D2" s="108">
        <v>4.0</v>
      </c>
      <c r="E2" s="108">
        <v>3.0</v>
      </c>
      <c r="F2" s="108">
        <v>2.0</v>
      </c>
      <c r="G2" s="108">
        <v>2.0</v>
      </c>
      <c r="H2" s="108">
        <v>2.0</v>
      </c>
      <c r="I2" s="108">
        <v>2.0</v>
      </c>
      <c r="J2" s="108">
        <v>1.0</v>
      </c>
      <c r="K2" s="108">
        <v>2.0</v>
      </c>
      <c r="L2" s="108">
        <v>2.0</v>
      </c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>
      <c r="A3" s="108" t="s">
        <v>92</v>
      </c>
      <c r="B3" s="108">
        <v>3.0</v>
      </c>
      <c r="C3" s="108">
        <v>4.0</v>
      </c>
      <c r="D3" s="108">
        <v>5.0</v>
      </c>
      <c r="E3" s="108">
        <v>5.0</v>
      </c>
      <c r="F3" s="108">
        <v>5.0</v>
      </c>
      <c r="G3" s="108">
        <v>3.0</v>
      </c>
      <c r="H3" s="108">
        <v>5.0</v>
      </c>
      <c r="I3" s="108">
        <v>5.0</v>
      </c>
      <c r="J3" s="108">
        <v>3.0</v>
      </c>
      <c r="K3" s="108">
        <v>4.0</v>
      </c>
      <c r="L3" s="108">
        <v>3.0</v>
      </c>
      <c r="N3" s="109"/>
      <c r="O3" s="110" t="s">
        <v>93</v>
      </c>
      <c r="P3" s="110" t="s">
        <v>80</v>
      </c>
      <c r="Q3" s="110" t="s">
        <v>94</v>
      </c>
      <c r="R3" s="110" t="s">
        <v>81</v>
      </c>
      <c r="S3" s="110" t="s">
        <v>87</v>
      </c>
      <c r="T3" s="110" t="s">
        <v>86</v>
      </c>
      <c r="U3" s="110" t="s">
        <v>82</v>
      </c>
      <c r="V3" s="110" t="s">
        <v>95</v>
      </c>
      <c r="W3" s="110" t="s">
        <v>83</v>
      </c>
      <c r="X3" s="110" t="s">
        <v>84</v>
      </c>
      <c r="Y3" s="110" t="s">
        <v>90</v>
      </c>
      <c r="AA3" s="65"/>
    </row>
    <row r="4">
      <c r="A4" s="108" t="s">
        <v>96</v>
      </c>
      <c r="B4" s="108">
        <v>3.0</v>
      </c>
      <c r="C4" s="108">
        <v>3.0</v>
      </c>
      <c r="D4" s="108">
        <v>4.0</v>
      </c>
      <c r="E4" s="108">
        <v>4.0</v>
      </c>
      <c r="F4" s="108">
        <v>5.0</v>
      </c>
      <c r="G4" s="108">
        <v>3.0</v>
      </c>
      <c r="H4" s="108">
        <v>2.0</v>
      </c>
      <c r="I4" s="108">
        <v>2.0</v>
      </c>
      <c r="J4" s="108">
        <v>2.0</v>
      </c>
      <c r="K4" s="108">
        <v>2.0</v>
      </c>
      <c r="L4" s="108">
        <v>2.0</v>
      </c>
      <c r="N4" s="110" t="s">
        <v>31</v>
      </c>
      <c r="O4" s="111">
        <v>2.373737</v>
      </c>
      <c r="P4" s="112">
        <v>2.464646</v>
      </c>
      <c r="Q4" s="112">
        <v>2.787879</v>
      </c>
      <c r="R4" s="112">
        <v>2.79798</v>
      </c>
      <c r="S4" s="112">
        <v>3.161616</v>
      </c>
      <c r="T4" s="112">
        <v>2.969697</v>
      </c>
      <c r="U4" s="112">
        <v>3.313131</v>
      </c>
      <c r="V4" s="112">
        <v>3.060606</v>
      </c>
      <c r="W4" s="112">
        <v>3.525253</v>
      </c>
      <c r="X4" s="112">
        <v>3.787879</v>
      </c>
      <c r="Y4" s="113">
        <v>2.919192</v>
      </c>
      <c r="Z4" s="65"/>
      <c r="AA4" s="65"/>
    </row>
    <row r="5">
      <c r="A5" s="108" t="s">
        <v>97</v>
      </c>
      <c r="B5" s="108">
        <v>4.0</v>
      </c>
      <c r="C5" s="108">
        <v>4.0</v>
      </c>
      <c r="D5" s="108">
        <v>1.0</v>
      </c>
      <c r="E5" s="108">
        <v>2.0</v>
      </c>
      <c r="F5" s="108">
        <v>3.0</v>
      </c>
      <c r="G5" s="108">
        <v>1.0</v>
      </c>
      <c r="H5" s="108">
        <v>4.0</v>
      </c>
      <c r="I5" s="108">
        <v>4.0</v>
      </c>
      <c r="J5" s="108">
        <v>3.0</v>
      </c>
      <c r="K5" s="108">
        <v>4.0</v>
      </c>
      <c r="L5" s="108">
        <v>4.0</v>
      </c>
      <c r="N5" s="110" t="s">
        <v>32</v>
      </c>
      <c r="O5" s="114">
        <v>0.932255</v>
      </c>
      <c r="P5" s="115">
        <v>1.14565</v>
      </c>
      <c r="Q5" s="115">
        <v>1.263884</v>
      </c>
      <c r="R5" s="115">
        <v>1.285554</v>
      </c>
      <c r="S5" s="115">
        <v>1.291314</v>
      </c>
      <c r="T5" s="115">
        <v>1.305049</v>
      </c>
      <c r="U5" s="115">
        <v>1.337424</v>
      </c>
      <c r="V5" s="115">
        <v>1.252085</v>
      </c>
      <c r="W5" s="115">
        <v>1.172329</v>
      </c>
      <c r="X5" s="115">
        <v>1.052429</v>
      </c>
      <c r="Y5" s="116">
        <v>1.298954</v>
      </c>
      <c r="Z5" s="65"/>
      <c r="AA5" s="65"/>
    </row>
    <row r="6">
      <c r="A6" s="108" t="s">
        <v>98</v>
      </c>
      <c r="B6" s="108">
        <v>5.0</v>
      </c>
      <c r="C6" s="108">
        <v>5.0</v>
      </c>
      <c r="D6" s="108">
        <v>3.0</v>
      </c>
      <c r="E6" s="108">
        <v>3.0</v>
      </c>
      <c r="F6" s="108">
        <v>4.0</v>
      </c>
      <c r="G6" s="108">
        <v>4.0</v>
      </c>
      <c r="H6" s="108">
        <v>2.0</v>
      </c>
      <c r="I6" s="108">
        <v>2.0</v>
      </c>
      <c r="J6" s="108">
        <v>2.0</v>
      </c>
      <c r="K6" s="108">
        <v>2.0</v>
      </c>
      <c r="L6" s="108">
        <v>2.0</v>
      </c>
      <c r="N6" s="110" t="s">
        <v>33</v>
      </c>
      <c r="O6" s="114">
        <v>-0.04709</v>
      </c>
      <c r="P6" s="115">
        <v>0.0469</v>
      </c>
      <c r="Q6" s="115">
        <v>0.286626</v>
      </c>
      <c r="R6" s="115">
        <v>-0.05405</v>
      </c>
      <c r="S6" s="115">
        <v>-0.10471</v>
      </c>
      <c r="T6" s="115">
        <v>0.169504</v>
      </c>
      <c r="U6" s="115">
        <v>-0.46455</v>
      </c>
      <c r="V6" s="115">
        <v>-0.11649</v>
      </c>
      <c r="W6" s="115">
        <v>-0.46914</v>
      </c>
      <c r="X6" s="115">
        <v>-0.58056</v>
      </c>
      <c r="Y6" s="116">
        <v>0.124202</v>
      </c>
      <c r="Z6" s="65"/>
      <c r="AA6" s="65"/>
    </row>
    <row r="7">
      <c r="A7" s="108" t="s">
        <v>99</v>
      </c>
      <c r="B7" s="108">
        <v>3.0</v>
      </c>
      <c r="C7" s="108">
        <v>3.0</v>
      </c>
      <c r="D7" s="108">
        <v>3.0</v>
      </c>
      <c r="E7" s="108">
        <v>5.0</v>
      </c>
      <c r="F7" s="108">
        <v>4.0</v>
      </c>
      <c r="G7" s="108">
        <v>3.0</v>
      </c>
      <c r="H7" s="108">
        <v>2.0</v>
      </c>
      <c r="I7" s="108">
        <v>2.0</v>
      </c>
      <c r="J7" s="108">
        <v>5.0</v>
      </c>
      <c r="K7" s="108">
        <v>2.0</v>
      </c>
      <c r="L7" s="108">
        <v>2.0</v>
      </c>
      <c r="N7" s="110" t="s">
        <v>34</v>
      </c>
      <c r="O7" s="117">
        <v>-0.92298</v>
      </c>
      <c r="P7" s="118">
        <v>-0.20874</v>
      </c>
      <c r="Q7" s="118">
        <v>-1.06323</v>
      </c>
      <c r="R7" s="118">
        <v>-1.0554</v>
      </c>
      <c r="S7" s="118">
        <v>-1.13425</v>
      </c>
      <c r="T7" s="118">
        <v>-1.11019</v>
      </c>
      <c r="U7" s="118">
        <v>-0.86103</v>
      </c>
      <c r="V7" s="118">
        <v>-0.49894</v>
      </c>
      <c r="W7" s="118">
        <v>-0.47507</v>
      </c>
      <c r="X7" s="118">
        <v>-0.19041</v>
      </c>
      <c r="Y7" s="119">
        <v>-1.12794</v>
      </c>
      <c r="Z7" s="65"/>
      <c r="AA7" s="65"/>
    </row>
    <row r="8">
      <c r="A8" s="108" t="s">
        <v>100</v>
      </c>
      <c r="B8" s="108">
        <v>3.0</v>
      </c>
      <c r="C8" s="108">
        <v>4.0</v>
      </c>
      <c r="D8" s="108">
        <v>3.0</v>
      </c>
      <c r="E8" s="108">
        <v>3.0</v>
      </c>
      <c r="F8" s="108">
        <v>4.0</v>
      </c>
      <c r="G8" s="108">
        <v>4.0</v>
      </c>
      <c r="H8" s="108">
        <v>4.0</v>
      </c>
      <c r="I8" s="108">
        <v>4.0</v>
      </c>
      <c r="J8" s="108">
        <v>2.0</v>
      </c>
      <c r="K8" s="108">
        <v>4.0</v>
      </c>
      <c r="L8" s="108">
        <v>4.0</v>
      </c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65"/>
      <c r="AA8" s="65"/>
    </row>
    <row r="9">
      <c r="A9" s="108" t="s">
        <v>101</v>
      </c>
      <c r="B9" s="108">
        <v>1.0</v>
      </c>
      <c r="C9" s="108">
        <v>1.0</v>
      </c>
      <c r="D9" s="108">
        <v>3.0</v>
      </c>
      <c r="E9" s="108">
        <v>5.0</v>
      </c>
      <c r="F9" s="108">
        <v>3.0</v>
      </c>
      <c r="G9" s="108">
        <v>1.0</v>
      </c>
      <c r="H9" s="108">
        <v>3.0</v>
      </c>
      <c r="I9" s="108">
        <v>4.0</v>
      </c>
      <c r="J9" s="108">
        <v>1.0</v>
      </c>
      <c r="K9" s="108">
        <v>1.0</v>
      </c>
      <c r="L9" s="108">
        <v>5.0</v>
      </c>
      <c r="N9" s="110" t="s">
        <v>35</v>
      </c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65"/>
      <c r="AA9" s="65"/>
    </row>
    <row r="10">
      <c r="A10" s="108" t="s">
        <v>102</v>
      </c>
      <c r="B10" s="108">
        <v>2.0</v>
      </c>
      <c r="C10" s="108">
        <v>2.0</v>
      </c>
      <c r="D10" s="108">
        <v>4.0</v>
      </c>
      <c r="E10" s="108">
        <v>3.0</v>
      </c>
      <c r="F10" s="108">
        <v>4.0</v>
      </c>
      <c r="G10" s="108">
        <v>2.0</v>
      </c>
      <c r="H10" s="108">
        <v>5.0</v>
      </c>
      <c r="I10" s="108">
        <v>5.0</v>
      </c>
      <c r="J10" s="108">
        <v>3.0</v>
      </c>
      <c r="K10" s="108">
        <v>5.0</v>
      </c>
      <c r="L10" s="108">
        <v>5.0</v>
      </c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65"/>
      <c r="AA10" s="65"/>
    </row>
    <row r="11">
      <c r="A11" s="108" t="s">
        <v>103</v>
      </c>
      <c r="B11" s="108">
        <v>3.0</v>
      </c>
      <c r="C11" s="108">
        <v>3.0</v>
      </c>
      <c r="D11" s="108">
        <v>3.0</v>
      </c>
      <c r="E11" s="108">
        <v>5.0</v>
      </c>
      <c r="F11" s="108">
        <v>5.0</v>
      </c>
      <c r="G11" s="108">
        <v>3.0</v>
      </c>
      <c r="H11" s="108">
        <v>4.0</v>
      </c>
      <c r="I11" s="108">
        <v>4.0</v>
      </c>
      <c r="J11" s="108">
        <v>2.0</v>
      </c>
      <c r="K11" s="108">
        <v>4.0</v>
      </c>
      <c r="L11" s="108">
        <v>4.0</v>
      </c>
      <c r="N11" s="109"/>
      <c r="O11" s="110" t="s">
        <v>93</v>
      </c>
      <c r="P11" s="110" t="s">
        <v>80</v>
      </c>
      <c r="Q11" s="110" t="s">
        <v>94</v>
      </c>
      <c r="R11" s="110" t="s">
        <v>81</v>
      </c>
      <c r="S11" s="110" t="s">
        <v>87</v>
      </c>
      <c r="T11" s="110" t="s">
        <v>86</v>
      </c>
      <c r="U11" s="110" t="s">
        <v>82</v>
      </c>
      <c r="V11" s="110" t="s">
        <v>95</v>
      </c>
      <c r="W11" s="110" t="s">
        <v>83</v>
      </c>
      <c r="X11" s="110" t="s">
        <v>84</v>
      </c>
      <c r="Y11" s="110" t="s">
        <v>90</v>
      </c>
      <c r="AA11" s="65"/>
    </row>
    <row r="12">
      <c r="A12" s="108" t="s">
        <v>104</v>
      </c>
      <c r="B12" s="108">
        <v>2.0</v>
      </c>
      <c r="C12" s="108">
        <v>4.0</v>
      </c>
      <c r="D12" s="108">
        <v>4.0</v>
      </c>
      <c r="E12" s="108">
        <v>4.0</v>
      </c>
      <c r="F12" s="108">
        <v>4.0</v>
      </c>
      <c r="G12" s="108">
        <v>2.0</v>
      </c>
      <c r="H12" s="108">
        <v>4.0</v>
      </c>
      <c r="I12" s="108">
        <v>3.0</v>
      </c>
      <c r="J12" s="108">
        <v>2.0</v>
      </c>
      <c r="K12" s="108">
        <v>4.0</v>
      </c>
      <c r="L12" s="108">
        <v>2.0</v>
      </c>
      <c r="N12" s="110" t="s">
        <v>93</v>
      </c>
      <c r="O12" s="120">
        <v>1.0</v>
      </c>
      <c r="P12" s="121">
        <v>0.695612</v>
      </c>
      <c r="Q12" s="112">
        <v>0.197874</v>
      </c>
      <c r="R12" s="112">
        <v>0.557472</v>
      </c>
      <c r="S12" s="112">
        <v>0.144269</v>
      </c>
      <c r="T12" s="112">
        <v>0.110049</v>
      </c>
      <c r="U12" s="112">
        <v>0.117967</v>
      </c>
      <c r="V12" s="112">
        <v>0.277621</v>
      </c>
      <c r="W12" s="112">
        <v>0.014618</v>
      </c>
      <c r="X12" s="112">
        <v>-0.03278</v>
      </c>
      <c r="Y12" s="113">
        <v>0.193724</v>
      </c>
      <c r="Z12" s="65"/>
      <c r="AA12" s="65"/>
    </row>
    <row r="13">
      <c r="A13" s="108" t="s">
        <v>105</v>
      </c>
      <c r="B13" s="108">
        <v>2.0</v>
      </c>
      <c r="C13" s="108">
        <v>4.0</v>
      </c>
      <c r="D13" s="108">
        <v>1.0</v>
      </c>
      <c r="E13" s="108">
        <v>1.0</v>
      </c>
      <c r="F13" s="108">
        <v>1.0</v>
      </c>
      <c r="G13" s="108">
        <v>3.0</v>
      </c>
      <c r="H13" s="108">
        <v>1.0</v>
      </c>
      <c r="I13" s="108">
        <v>5.0</v>
      </c>
      <c r="J13" s="108">
        <v>2.0</v>
      </c>
      <c r="K13" s="108">
        <v>3.0</v>
      </c>
      <c r="L13" s="108">
        <v>3.0</v>
      </c>
      <c r="N13" s="110" t="s">
        <v>80</v>
      </c>
      <c r="O13" s="122">
        <v>0.695612</v>
      </c>
      <c r="P13" s="123">
        <v>1.0</v>
      </c>
      <c r="Q13" s="115">
        <v>0.153329</v>
      </c>
      <c r="R13" s="115">
        <v>0.438518</v>
      </c>
      <c r="S13" s="115">
        <v>0.038389</v>
      </c>
      <c r="T13" s="115">
        <v>0.070937</v>
      </c>
      <c r="U13" s="115">
        <v>-0.00269</v>
      </c>
      <c r="V13" s="115">
        <v>0.271825</v>
      </c>
      <c r="W13" s="115">
        <v>-0.04681</v>
      </c>
      <c r="X13" s="115">
        <v>-0.00205</v>
      </c>
      <c r="Y13" s="116">
        <v>0.169483</v>
      </c>
      <c r="Z13" s="65"/>
      <c r="AA13" s="65"/>
    </row>
    <row r="14">
      <c r="A14" s="108" t="s">
        <v>106</v>
      </c>
      <c r="B14" s="108">
        <v>4.0</v>
      </c>
      <c r="C14" s="108">
        <v>2.0</v>
      </c>
      <c r="D14" s="108">
        <v>2.0</v>
      </c>
      <c r="E14" s="108">
        <v>3.0</v>
      </c>
      <c r="F14" s="108">
        <v>3.0</v>
      </c>
      <c r="G14" s="108">
        <v>2.0</v>
      </c>
      <c r="H14" s="108">
        <v>2.0</v>
      </c>
      <c r="I14" s="108">
        <v>2.0</v>
      </c>
      <c r="J14" s="108">
        <v>5.0</v>
      </c>
      <c r="K14" s="108">
        <v>2.0</v>
      </c>
      <c r="L14" s="108">
        <v>2.0</v>
      </c>
      <c r="N14" s="110" t="s">
        <v>94</v>
      </c>
      <c r="O14" s="114">
        <v>0.197874</v>
      </c>
      <c r="P14" s="115">
        <v>0.153329</v>
      </c>
      <c r="Q14" s="123">
        <v>1.0</v>
      </c>
      <c r="R14" s="115">
        <v>0.31249</v>
      </c>
      <c r="S14" s="123">
        <v>0.702713</v>
      </c>
      <c r="T14" s="123">
        <v>0.76318</v>
      </c>
      <c r="U14" s="115">
        <v>0.220796</v>
      </c>
      <c r="V14" s="115">
        <v>-0.04338</v>
      </c>
      <c r="W14" s="115">
        <v>0.103511</v>
      </c>
      <c r="X14" s="115">
        <v>0.326383</v>
      </c>
      <c r="Y14" s="124">
        <v>0.753954</v>
      </c>
      <c r="Z14" s="65"/>
      <c r="AA14" s="65"/>
    </row>
    <row r="15">
      <c r="A15" s="108" t="s">
        <v>107</v>
      </c>
      <c r="B15" s="108">
        <v>3.0</v>
      </c>
      <c r="C15" s="108">
        <v>4.0</v>
      </c>
      <c r="D15" s="108">
        <v>3.0</v>
      </c>
      <c r="E15" s="108">
        <v>3.0</v>
      </c>
      <c r="F15" s="108">
        <v>3.0</v>
      </c>
      <c r="G15" s="108">
        <v>3.0</v>
      </c>
      <c r="H15" s="108">
        <v>3.0</v>
      </c>
      <c r="I15" s="108">
        <v>5.0</v>
      </c>
      <c r="J15" s="108">
        <v>3.0</v>
      </c>
      <c r="K15" s="108">
        <v>2.0</v>
      </c>
      <c r="L15" s="108">
        <v>5.0</v>
      </c>
      <c r="N15" s="110" t="s">
        <v>81</v>
      </c>
      <c r="O15" s="114">
        <v>0.557472</v>
      </c>
      <c r="P15" s="115">
        <v>0.438518</v>
      </c>
      <c r="Q15" s="115">
        <v>0.31249</v>
      </c>
      <c r="R15" s="123">
        <v>1.0</v>
      </c>
      <c r="S15" s="115">
        <v>0.493175</v>
      </c>
      <c r="T15" s="115">
        <v>0.336914</v>
      </c>
      <c r="U15" s="115">
        <v>0.22115</v>
      </c>
      <c r="V15" s="115">
        <v>-0.13178</v>
      </c>
      <c r="W15" s="115">
        <v>-0.05752</v>
      </c>
      <c r="X15" s="115">
        <v>-0.032</v>
      </c>
      <c r="Y15" s="116">
        <v>0.368987</v>
      </c>
      <c r="Z15" s="65"/>
      <c r="AA15" s="65"/>
    </row>
    <row r="16">
      <c r="A16" s="108" t="s">
        <v>108</v>
      </c>
      <c r="B16" s="108">
        <v>2.0</v>
      </c>
      <c r="C16" s="108">
        <v>2.0</v>
      </c>
      <c r="D16" s="108">
        <v>4.0</v>
      </c>
      <c r="E16" s="108">
        <v>4.0</v>
      </c>
      <c r="F16" s="108">
        <v>3.0</v>
      </c>
      <c r="G16" s="108">
        <v>2.0</v>
      </c>
      <c r="H16" s="108">
        <v>1.0</v>
      </c>
      <c r="I16" s="108">
        <v>1.0</v>
      </c>
      <c r="J16" s="108">
        <v>3.0</v>
      </c>
      <c r="K16" s="108">
        <v>1.0</v>
      </c>
      <c r="L16" s="108">
        <v>1.0</v>
      </c>
      <c r="N16" s="110" t="s">
        <v>87</v>
      </c>
      <c r="O16" s="114">
        <v>0.144269</v>
      </c>
      <c r="P16" s="115">
        <v>0.038389</v>
      </c>
      <c r="Q16" s="123">
        <v>0.702713</v>
      </c>
      <c r="R16" s="115">
        <v>0.493175</v>
      </c>
      <c r="S16" s="123">
        <v>1.0</v>
      </c>
      <c r="T16" s="123">
        <v>0.699262</v>
      </c>
      <c r="U16" s="115">
        <v>0.177194</v>
      </c>
      <c r="V16" s="115">
        <v>-0.17652</v>
      </c>
      <c r="W16" s="115">
        <v>0.03772</v>
      </c>
      <c r="X16" s="115">
        <v>0.13811</v>
      </c>
      <c r="Y16" s="124">
        <v>0.804795</v>
      </c>
      <c r="Z16" s="65"/>
      <c r="AA16" s="65"/>
    </row>
    <row r="17">
      <c r="A17" s="108" t="s">
        <v>109</v>
      </c>
      <c r="B17" s="108">
        <v>1.0</v>
      </c>
      <c r="C17" s="108">
        <v>5.0</v>
      </c>
      <c r="D17" s="108">
        <v>5.0</v>
      </c>
      <c r="E17" s="108">
        <v>5.0</v>
      </c>
      <c r="F17" s="108">
        <v>5.0</v>
      </c>
      <c r="G17" s="108">
        <v>1.0</v>
      </c>
      <c r="H17" s="108">
        <v>5.0</v>
      </c>
      <c r="I17" s="108">
        <v>5.0</v>
      </c>
      <c r="J17" s="108">
        <v>1.0</v>
      </c>
      <c r="K17" s="108">
        <v>2.0</v>
      </c>
      <c r="L17" s="108">
        <v>3.0</v>
      </c>
      <c r="N17" s="110" t="s">
        <v>86</v>
      </c>
      <c r="O17" s="114">
        <v>0.110049</v>
      </c>
      <c r="P17" s="115">
        <v>0.070937</v>
      </c>
      <c r="Q17" s="123">
        <v>0.76318</v>
      </c>
      <c r="R17" s="115">
        <v>0.336914</v>
      </c>
      <c r="S17" s="123">
        <v>0.699262</v>
      </c>
      <c r="T17" s="123">
        <v>1.0</v>
      </c>
      <c r="U17" s="115">
        <v>0.455654</v>
      </c>
      <c r="V17" s="115">
        <v>-0.16747</v>
      </c>
      <c r="W17" s="115">
        <v>0.337318</v>
      </c>
      <c r="X17" s="115">
        <v>0.545048</v>
      </c>
      <c r="Y17" s="124">
        <v>0.624558</v>
      </c>
      <c r="Z17" s="65"/>
      <c r="AA17" s="65"/>
    </row>
    <row r="18">
      <c r="A18" s="108" t="s">
        <v>110</v>
      </c>
      <c r="B18" s="108">
        <v>2.0</v>
      </c>
      <c r="C18" s="108">
        <v>2.0</v>
      </c>
      <c r="D18" s="108">
        <v>4.0</v>
      </c>
      <c r="E18" s="108">
        <v>2.0</v>
      </c>
      <c r="F18" s="108">
        <v>4.0</v>
      </c>
      <c r="G18" s="108">
        <v>2.0</v>
      </c>
      <c r="H18" s="108">
        <v>2.0</v>
      </c>
      <c r="I18" s="108">
        <v>2.0</v>
      </c>
      <c r="J18" s="108">
        <v>3.0</v>
      </c>
      <c r="K18" s="108">
        <v>2.0</v>
      </c>
      <c r="L18" s="108">
        <v>2.0</v>
      </c>
      <c r="N18" s="110" t="s">
        <v>82</v>
      </c>
      <c r="O18" s="114">
        <v>0.117967</v>
      </c>
      <c r="P18" s="115">
        <v>-0.00269</v>
      </c>
      <c r="Q18" s="115">
        <v>0.220796</v>
      </c>
      <c r="R18" s="115">
        <v>0.22115</v>
      </c>
      <c r="S18" s="115">
        <v>0.177194</v>
      </c>
      <c r="T18" s="115">
        <v>0.455654</v>
      </c>
      <c r="U18" s="123">
        <v>1.0</v>
      </c>
      <c r="V18" s="115">
        <v>-0.0602</v>
      </c>
      <c r="W18" s="115">
        <v>0.382138</v>
      </c>
      <c r="X18" s="115">
        <v>0.468146</v>
      </c>
      <c r="Y18" s="116">
        <v>0.096946</v>
      </c>
      <c r="Z18" s="65"/>
      <c r="AA18" s="65"/>
    </row>
    <row r="19">
      <c r="A19" s="108" t="s">
        <v>111</v>
      </c>
      <c r="B19" s="108">
        <v>2.0</v>
      </c>
      <c r="C19" s="108">
        <v>4.0</v>
      </c>
      <c r="D19" s="108">
        <v>3.0</v>
      </c>
      <c r="E19" s="108">
        <v>3.0</v>
      </c>
      <c r="F19" s="108">
        <v>3.0</v>
      </c>
      <c r="G19" s="108">
        <v>3.0</v>
      </c>
      <c r="H19" s="108">
        <v>3.0</v>
      </c>
      <c r="I19" s="108">
        <v>3.0</v>
      </c>
      <c r="J19" s="108">
        <v>3.0</v>
      </c>
      <c r="K19" s="108">
        <v>2.0</v>
      </c>
      <c r="L19" s="108">
        <v>2.0</v>
      </c>
      <c r="N19" s="110" t="s">
        <v>95</v>
      </c>
      <c r="O19" s="114">
        <v>0.277621</v>
      </c>
      <c r="P19" s="115">
        <v>0.271825</v>
      </c>
      <c r="Q19" s="115">
        <v>-0.04338</v>
      </c>
      <c r="R19" s="115">
        <v>-0.13178</v>
      </c>
      <c r="S19" s="115">
        <v>-0.17652</v>
      </c>
      <c r="T19" s="115">
        <v>-0.16747</v>
      </c>
      <c r="U19" s="115">
        <v>-0.0602</v>
      </c>
      <c r="V19" s="123">
        <v>1.0</v>
      </c>
      <c r="W19" s="115">
        <v>0.019802</v>
      </c>
      <c r="X19" s="115">
        <v>0.002112</v>
      </c>
      <c r="Y19" s="116">
        <v>-0.05342</v>
      </c>
      <c r="Z19" s="65"/>
      <c r="AA19" s="65"/>
    </row>
    <row r="20">
      <c r="A20" s="108" t="s">
        <v>112</v>
      </c>
      <c r="B20" s="108">
        <v>3.0</v>
      </c>
      <c r="C20" s="108">
        <v>4.0</v>
      </c>
      <c r="D20" s="108">
        <v>2.0</v>
      </c>
      <c r="E20" s="108">
        <v>2.0</v>
      </c>
      <c r="F20" s="108">
        <v>2.0</v>
      </c>
      <c r="G20" s="108">
        <v>3.0</v>
      </c>
      <c r="H20" s="108">
        <v>2.0</v>
      </c>
      <c r="I20" s="108">
        <v>5.0</v>
      </c>
      <c r="J20" s="108">
        <v>3.0</v>
      </c>
      <c r="K20" s="108">
        <v>2.0</v>
      </c>
      <c r="L20" s="108">
        <v>5.0</v>
      </c>
      <c r="N20" s="110" t="s">
        <v>83</v>
      </c>
      <c r="O20" s="114">
        <v>0.014618</v>
      </c>
      <c r="P20" s="115">
        <v>-0.04681</v>
      </c>
      <c r="Q20" s="115">
        <v>0.103511</v>
      </c>
      <c r="R20" s="115">
        <v>-0.05752</v>
      </c>
      <c r="S20" s="115">
        <v>0.03772</v>
      </c>
      <c r="T20" s="115">
        <v>0.337318</v>
      </c>
      <c r="U20" s="115">
        <v>0.382138</v>
      </c>
      <c r="V20" s="115">
        <v>0.019802</v>
      </c>
      <c r="W20" s="123">
        <v>1.0</v>
      </c>
      <c r="X20" s="123">
        <v>0.603997</v>
      </c>
      <c r="Y20" s="116">
        <v>-0.05225</v>
      </c>
      <c r="Z20" s="65"/>
      <c r="AA20" s="65"/>
    </row>
    <row r="21">
      <c r="A21" s="108" t="s">
        <v>113</v>
      </c>
      <c r="B21" s="108">
        <v>2.0</v>
      </c>
      <c r="C21" s="108">
        <v>2.0</v>
      </c>
      <c r="D21" s="108">
        <v>3.0</v>
      </c>
      <c r="E21" s="108">
        <v>1.0</v>
      </c>
      <c r="F21" s="108">
        <v>4.0</v>
      </c>
      <c r="G21" s="108">
        <v>1.0</v>
      </c>
      <c r="H21" s="108">
        <v>4.0</v>
      </c>
      <c r="I21" s="108">
        <v>3.0</v>
      </c>
      <c r="J21" s="108">
        <v>2.0</v>
      </c>
      <c r="K21" s="108">
        <v>4.0</v>
      </c>
      <c r="L21" s="108">
        <v>4.0</v>
      </c>
      <c r="N21" s="110" t="s">
        <v>84</v>
      </c>
      <c r="O21" s="114">
        <v>-0.03278</v>
      </c>
      <c r="P21" s="115">
        <v>-0.00205</v>
      </c>
      <c r="Q21" s="115">
        <v>0.326383</v>
      </c>
      <c r="R21" s="115">
        <v>-0.032</v>
      </c>
      <c r="S21" s="115">
        <v>0.13811</v>
      </c>
      <c r="T21" s="115">
        <v>0.545048</v>
      </c>
      <c r="U21" s="115">
        <v>0.468146</v>
      </c>
      <c r="V21" s="115">
        <v>0.002112</v>
      </c>
      <c r="W21" s="123">
        <v>0.603997</v>
      </c>
      <c r="X21" s="123">
        <v>1.0</v>
      </c>
      <c r="Y21" s="116">
        <v>0.106762</v>
      </c>
      <c r="Z21" s="65"/>
      <c r="AA21" s="65"/>
    </row>
    <row r="22">
      <c r="A22" s="108" t="s">
        <v>114</v>
      </c>
      <c r="B22" s="108">
        <v>2.0</v>
      </c>
      <c r="C22" s="108">
        <v>5.0</v>
      </c>
      <c r="D22" s="108">
        <v>5.0</v>
      </c>
      <c r="E22" s="108">
        <v>5.0</v>
      </c>
      <c r="F22" s="108">
        <v>5.0</v>
      </c>
      <c r="G22" s="108">
        <v>2.0</v>
      </c>
      <c r="H22" s="108">
        <v>5.0</v>
      </c>
      <c r="I22" s="108">
        <v>4.0</v>
      </c>
      <c r="J22" s="108">
        <v>2.0</v>
      </c>
      <c r="K22" s="108">
        <v>2.0</v>
      </c>
      <c r="L22" s="108">
        <v>3.0</v>
      </c>
      <c r="N22" s="110" t="s">
        <v>90</v>
      </c>
      <c r="O22" s="117">
        <v>0.193724</v>
      </c>
      <c r="P22" s="118">
        <v>0.169483</v>
      </c>
      <c r="Q22" s="125">
        <v>0.753954</v>
      </c>
      <c r="R22" s="118">
        <v>0.368987</v>
      </c>
      <c r="S22" s="125">
        <v>0.804795</v>
      </c>
      <c r="T22" s="125">
        <v>0.624558</v>
      </c>
      <c r="U22" s="118">
        <v>0.096946</v>
      </c>
      <c r="V22" s="118">
        <v>-0.05342</v>
      </c>
      <c r="W22" s="118">
        <v>-0.05225</v>
      </c>
      <c r="X22" s="118">
        <v>0.106762</v>
      </c>
      <c r="Y22" s="126">
        <v>1.0</v>
      </c>
      <c r="Z22" s="65"/>
      <c r="AA22" s="65"/>
    </row>
    <row r="23">
      <c r="A23" s="108" t="s">
        <v>115</v>
      </c>
      <c r="B23" s="108">
        <v>2.0</v>
      </c>
      <c r="C23" s="108">
        <v>5.0</v>
      </c>
      <c r="D23" s="108">
        <v>5.0</v>
      </c>
      <c r="E23" s="108">
        <v>5.0</v>
      </c>
      <c r="F23" s="108">
        <v>5.0</v>
      </c>
      <c r="G23" s="108">
        <v>2.0</v>
      </c>
      <c r="H23" s="108">
        <v>5.0</v>
      </c>
      <c r="I23" s="108">
        <v>5.0</v>
      </c>
      <c r="J23" s="108">
        <v>2.0</v>
      </c>
      <c r="K23" s="108">
        <v>4.0</v>
      </c>
      <c r="L23" s="108">
        <v>4.0</v>
      </c>
      <c r="N23" s="109"/>
      <c r="O23" s="123">
        <v>0.996536</v>
      </c>
      <c r="P23" s="123">
        <v>0.811006</v>
      </c>
      <c r="Q23" s="123">
        <v>1.972882</v>
      </c>
      <c r="R23" s="123">
        <v>1.164212</v>
      </c>
      <c r="S23" s="123">
        <v>1.979031</v>
      </c>
      <c r="T23" s="123">
        <v>2.238667</v>
      </c>
      <c r="U23" s="123">
        <v>0.728812</v>
      </c>
      <c r="V23" s="115">
        <v>0.236292</v>
      </c>
      <c r="W23" s="123">
        <v>0.645598</v>
      </c>
      <c r="X23" s="123">
        <v>1.020155</v>
      </c>
      <c r="Y23" s="123">
        <v>1.834999</v>
      </c>
      <c r="Z23" s="127">
        <v>13.62819</v>
      </c>
      <c r="AA23" s="65"/>
    </row>
    <row r="24">
      <c r="A24" s="108" t="s">
        <v>116</v>
      </c>
      <c r="B24" s="108">
        <v>2.0</v>
      </c>
      <c r="C24" s="108">
        <v>2.0</v>
      </c>
      <c r="D24" s="108">
        <v>4.0</v>
      </c>
      <c r="E24" s="108">
        <v>3.0</v>
      </c>
      <c r="F24" s="108">
        <v>2.0</v>
      </c>
      <c r="G24" s="108">
        <v>2.0</v>
      </c>
      <c r="H24" s="108">
        <v>2.0</v>
      </c>
      <c r="I24" s="108">
        <v>2.0</v>
      </c>
      <c r="J24" s="108">
        <v>3.0</v>
      </c>
      <c r="K24" s="108">
        <v>2.0</v>
      </c>
      <c r="L24" s="108">
        <v>2.0</v>
      </c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65"/>
      <c r="AA24" s="65"/>
    </row>
    <row r="25">
      <c r="A25" s="108" t="s">
        <v>117</v>
      </c>
      <c r="B25" s="108">
        <v>1.0</v>
      </c>
      <c r="C25" s="108">
        <v>1.0</v>
      </c>
      <c r="D25" s="108">
        <v>1.0</v>
      </c>
      <c r="E25" s="108">
        <v>3.0</v>
      </c>
      <c r="F25" s="108">
        <v>2.0</v>
      </c>
      <c r="G25" s="108">
        <v>1.0</v>
      </c>
      <c r="H25" s="108">
        <v>1.0</v>
      </c>
      <c r="I25" s="108">
        <v>1.0</v>
      </c>
      <c r="J25" s="108">
        <v>5.0</v>
      </c>
      <c r="K25" s="108">
        <v>1.0</v>
      </c>
      <c r="L25" s="108">
        <v>1.0</v>
      </c>
      <c r="N25" s="110" t="s">
        <v>36</v>
      </c>
      <c r="Q25" s="109"/>
      <c r="R25" s="109"/>
      <c r="S25" s="109"/>
      <c r="T25" s="109"/>
      <c r="U25" s="109"/>
      <c r="V25" s="109"/>
      <c r="W25" s="109"/>
      <c r="X25" s="109"/>
      <c r="Y25" s="109"/>
      <c r="Z25" s="65"/>
      <c r="AA25" s="65"/>
    </row>
    <row r="26">
      <c r="A26" s="108" t="s">
        <v>118</v>
      </c>
      <c r="B26" s="108">
        <v>2.0</v>
      </c>
      <c r="C26" s="108">
        <v>4.0</v>
      </c>
      <c r="D26" s="108">
        <v>2.0</v>
      </c>
      <c r="E26" s="108">
        <v>2.0</v>
      </c>
      <c r="F26" s="108">
        <v>2.0</v>
      </c>
      <c r="G26" s="108">
        <v>2.0</v>
      </c>
      <c r="H26" s="108">
        <v>2.0</v>
      </c>
      <c r="I26" s="108">
        <v>5.0</v>
      </c>
      <c r="J26" s="108">
        <v>2.0</v>
      </c>
      <c r="K26" s="108">
        <v>4.0</v>
      </c>
      <c r="L26" s="108">
        <v>5.0</v>
      </c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65"/>
      <c r="AA26" s="65"/>
    </row>
    <row r="27">
      <c r="A27" s="108" t="s">
        <v>119</v>
      </c>
      <c r="B27" s="108">
        <v>0.0</v>
      </c>
      <c r="C27" s="108">
        <v>3.0</v>
      </c>
      <c r="D27" s="108">
        <v>4.0</v>
      </c>
      <c r="E27" s="108">
        <v>4.0</v>
      </c>
      <c r="F27" s="108">
        <v>4.0</v>
      </c>
      <c r="G27" s="108">
        <v>1.0</v>
      </c>
      <c r="H27" s="108">
        <v>4.0</v>
      </c>
      <c r="I27" s="108">
        <v>3.0</v>
      </c>
      <c r="J27" s="108">
        <v>1.0</v>
      </c>
      <c r="K27" s="108">
        <v>1.0</v>
      </c>
      <c r="L27" s="108">
        <v>1.0</v>
      </c>
      <c r="N27" s="109"/>
      <c r="O27" s="110" t="s">
        <v>93</v>
      </c>
      <c r="P27" s="110" t="s">
        <v>80</v>
      </c>
      <c r="Q27" s="110" t="s">
        <v>94</v>
      </c>
      <c r="R27" s="110" t="s">
        <v>81</v>
      </c>
      <c r="S27" s="110" t="s">
        <v>87</v>
      </c>
      <c r="T27" s="110" t="s">
        <v>86</v>
      </c>
      <c r="U27" s="110" t="s">
        <v>82</v>
      </c>
      <c r="V27" s="110" t="s">
        <v>95</v>
      </c>
      <c r="W27" s="110" t="s">
        <v>83</v>
      </c>
      <c r="X27" s="110" t="s">
        <v>84</v>
      </c>
      <c r="Y27" s="110" t="s">
        <v>90</v>
      </c>
      <c r="AA27" s="128" t="s">
        <v>37</v>
      </c>
    </row>
    <row r="28">
      <c r="A28" s="108" t="s">
        <v>120</v>
      </c>
      <c r="B28" s="108">
        <v>3.0</v>
      </c>
      <c r="C28" s="108">
        <v>5.0</v>
      </c>
      <c r="D28" s="108">
        <v>2.0</v>
      </c>
      <c r="E28" s="108">
        <v>2.0</v>
      </c>
      <c r="F28" s="108">
        <v>2.0</v>
      </c>
      <c r="G28" s="108">
        <v>3.0</v>
      </c>
      <c r="H28" s="108">
        <v>2.0</v>
      </c>
      <c r="I28" s="108">
        <v>4.0</v>
      </c>
      <c r="J28" s="108">
        <v>3.0</v>
      </c>
      <c r="K28" s="108">
        <v>2.0</v>
      </c>
      <c r="L28" s="108">
        <v>4.0</v>
      </c>
      <c r="N28" s="110" t="s">
        <v>93</v>
      </c>
      <c r="O28" s="120">
        <v>2.584873</v>
      </c>
      <c r="P28" s="129">
        <v>-1.22621</v>
      </c>
      <c r="Q28" s="112">
        <v>-0.36626</v>
      </c>
      <c r="R28" s="129">
        <v>-0.97793</v>
      </c>
      <c r="S28" s="112">
        <v>0.147031</v>
      </c>
      <c r="T28" s="112">
        <v>0.263477</v>
      </c>
      <c r="U28" s="112">
        <v>-0.20611</v>
      </c>
      <c r="V28" s="112">
        <v>-0.46568</v>
      </c>
      <c r="W28" s="112">
        <v>-0.28557</v>
      </c>
      <c r="X28" s="112">
        <v>0.27522</v>
      </c>
      <c r="Y28" s="113">
        <v>0.011965</v>
      </c>
      <c r="Z28" s="65"/>
      <c r="AA28" s="130">
        <v>1.607754</v>
      </c>
    </row>
    <row r="29">
      <c r="A29" s="108" t="s">
        <v>121</v>
      </c>
      <c r="B29" s="108">
        <v>2.0</v>
      </c>
      <c r="C29" s="108">
        <v>2.0</v>
      </c>
      <c r="D29" s="108">
        <v>5.0</v>
      </c>
      <c r="E29" s="108">
        <v>4.0</v>
      </c>
      <c r="F29" s="108">
        <v>5.0</v>
      </c>
      <c r="G29" s="108">
        <v>2.0</v>
      </c>
      <c r="H29" s="108">
        <v>5.0</v>
      </c>
      <c r="I29" s="108">
        <v>5.0</v>
      </c>
      <c r="J29" s="108">
        <v>4.0</v>
      </c>
      <c r="K29" s="108">
        <v>5.0</v>
      </c>
      <c r="L29" s="108">
        <v>5.0</v>
      </c>
      <c r="N29" s="110" t="s">
        <v>80</v>
      </c>
      <c r="O29" s="131">
        <v>-1.22621</v>
      </c>
      <c r="P29" s="123">
        <v>2.234671</v>
      </c>
      <c r="Q29" s="115">
        <v>0.001383</v>
      </c>
      <c r="R29" s="115">
        <v>-0.55679</v>
      </c>
      <c r="S29" s="123">
        <v>0.846357</v>
      </c>
      <c r="T29" s="115">
        <v>-0.23643</v>
      </c>
      <c r="U29" s="115">
        <v>0.315609</v>
      </c>
      <c r="V29" s="115">
        <v>-0.23945</v>
      </c>
      <c r="W29" s="115">
        <v>0.126012</v>
      </c>
      <c r="X29" s="115">
        <v>-0.21355</v>
      </c>
      <c r="Y29" s="116">
        <v>-0.48427</v>
      </c>
      <c r="Z29" s="65"/>
      <c r="AA29" s="132">
        <v>1.494881</v>
      </c>
    </row>
    <row r="30">
      <c r="A30" s="108" t="s">
        <v>122</v>
      </c>
      <c r="B30" s="108">
        <v>2.0</v>
      </c>
      <c r="C30" s="108">
        <v>2.0</v>
      </c>
      <c r="D30" s="108">
        <v>1.0</v>
      </c>
      <c r="E30" s="108">
        <v>4.0</v>
      </c>
      <c r="F30" s="108">
        <v>4.0</v>
      </c>
      <c r="G30" s="108">
        <v>2.0</v>
      </c>
      <c r="H30" s="108">
        <v>4.0</v>
      </c>
      <c r="I30" s="108">
        <v>4.0</v>
      </c>
      <c r="J30" s="108">
        <v>3.0</v>
      </c>
      <c r="K30" s="108">
        <v>4.0</v>
      </c>
      <c r="L30" s="108">
        <v>4.0</v>
      </c>
      <c r="N30" s="110" t="s">
        <v>94</v>
      </c>
      <c r="O30" s="114">
        <v>-0.36626</v>
      </c>
      <c r="P30" s="115">
        <v>0.001383</v>
      </c>
      <c r="Q30" s="123">
        <v>3.625559</v>
      </c>
      <c r="R30" s="115">
        <v>0.275634</v>
      </c>
      <c r="S30" s="115">
        <v>-0.26281</v>
      </c>
      <c r="T30" s="133">
        <v>-1.82769</v>
      </c>
      <c r="U30" s="115">
        <v>0.207688</v>
      </c>
      <c r="V30" s="115">
        <v>-0.12469</v>
      </c>
      <c r="W30" s="115">
        <v>0.290381</v>
      </c>
      <c r="X30" s="115">
        <v>-0.27761</v>
      </c>
      <c r="Y30" s="134">
        <v>-1.39347</v>
      </c>
      <c r="Z30" s="65"/>
      <c r="AA30" s="132">
        <v>1.90409</v>
      </c>
    </row>
    <row r="31">
      <c r="A31" s="108" t="s">
        <v>123</v>
      </c>
      <c r="B31" s="108">
        <v>2.0</v>
      </c>
      <c r="C31" s="108">
        <v>2.0</v>
      </c>
      <c r="D31" s="108">
        <v>3.0</v>
      </c>
      <c r="E31" s="108">
        <v>3.0</v>
      </c>
      <c r="F31" s="108">
        <v>5.0</v>
      </c>
      <c r="G31" s="108">
        <v>2.0</v>
      </c>
      <c r="H31" s="108">
        <v>4.0</v>
      </c>
      <c r="I31" s="108">
        <v>4.0</v>
      </c>
      <c r="J31" s="108">
        <v>2.0</v>
      </c>
      <c r="K31" s="108">
        <v>4.0</v>
      </c>
      <c r="L31" s="108">
        <v>4.0</v>
      </c>
      <c r="N31" s="110" t="s">
        <v>81</v>
      </c>
      <c r="O31" s="131">
        <v>-0.97793</v>
      </c>
      <c r="P31" s="115">
        <v>-0.55679</v>
      </c>
      <c r="Q31" s="115">
        <v>0.275634</v>
      </c>
      <c r="R31" s="123">
        <v>2.43006</v>
      </c>
      <c r="S31" s="133">
        <v>-1.33885</v>
      </c>
      <c r="T31" s="115">
        <v>-0.11213</v>
      </c>
      <c r="U31" s="115">
        <v>-0.38371</v>
      </c>
      <c r="V31" s="115">
        <v>0.492331</v>
      </c>
      <c r="W31" s="115">
        <v>0.220382</v>
      </c>
      <c r="X31" s="115">
        <v>0.205539</v>
      </c>
      <c r="Y31" s="116">
        <v>0.379941</v>
      </c>
      <c r="Z31" s="65"/>
      <c r="AA31" s="132">
        <v>1.558865</v>
      </c>
    </row>
    <row r="32">
      <c r="A32" s="108" t="s">
        <v>124</v>
      </c>
      <c r="B32" s="108">
        <v>2.0</v>
      </c>
      <c r="C32" s="108">
        <v>2.0</v>
      </c>
      <c r="D32" s="108">
        <v>5.0</v>
      </c>
      <c r="E32" s="108">
        <v>4.0</v>
      </c>
      <c r="F32" s="108">
        <v>5.0</v>
      </c>
      <c r="G32" s="108">
        <v>2.0</v>
      </c>
      <c r="H32" s="108">
        <v>2.0</v>
      </c>
      <c r="I32" s="108">
        <v>2.0</v>
      </c>
      <c r="J32" s="108">
        <v>2.0</v>
      </c>
      <c r="K32" s="108">
        <v>2.0</v>
      </c>
      <c r="L32" s="108">
        <v>2.0</v>
      </c>
      <c r="N32" s="110" t="s">
        <v>87</v>
      </c>
      <c r="O32" s="114">
        <v>0.147031</v>
      </c>
      <c r="P32" s="123">
        <v>0.846357</v>
      </c>
      <c r="Q32" s="115">
        <v>-0.26281</v>
      </c>
      <c r="R32" s="133">
        <v>-1.33885</v>
      </c>
      <c r="S32" s="123">
        <v>4.639582</v>
      </c>
      <c r="T32" s="133">
        <v>-1.5284</v>
      </c>
      <c r="U32" s="115">
        <v>0.293708</v>
      </c>
      <c r="V32" s="115">
        <v>-6.6E-4</v>
      </c>
      <c r="W32" s="115">
        <v>-0.19058</v>
      </c>
      <c r="X32" s="115">
        <v>0.470033</v>
      </c>
      <c r="Y32" s="134">
        <v>-2.34775</v>
      </c>
      <c r="Z32" s="65"/>
      <c r="AA32" s="132">
        <v>2.153969</v>
      </c>
    </row>
    <row r="33">
      <c r="A33" s="108" t="s">
        <v>125</v>
      </c>
      <c r="B33" s="108">
        <v>3.0</v>
      </c>
      <c r="C33" s="108">
        <v>5.0</v>
      </c>
      <c r="D33" s="108">
        <v>5.0</v>
      </c>
      <c r="E33" s="108">
        <v>5.0</v>
      </c>
      <c r="F33" s="108">
        <v>5.0</v>
      </c>
      <c r="G33" s="108">
        <v>3.0</v>
      </c>
      <c r="H33" s="108">
        <v>5.0</v>
      </c>
      <c r="I33" s="108">
        <v>5.0</v>
      </c>
      <c r="J33" s="108">
        <v>3.0</v>
      </c>
      <c r="K33" s="108">
        <v>5.0</v>
      </c>
      <c r="L33" s="108">
        <v>4.0</v>
      </c>
      <c r="N33" s="110" t="s">
        <v>86</v>
      </c>
      <c r="O33" s="114">
        <v>0.263477</v>
      </c>
      <c r="P33" s="115">
        <v>-0.23643</v>
      </c>
      <c r="Q33" s="133">
        <v>-1.82769</v>
      </c>
      <c r="R33" s="115">
        <v>-0.11213</v>
      </c>
      <c r="S33" s="133">
        <v>-1.5284</v>
      </c>
      <c r="T33" s="123">
        <v>4.754728</v>
      </c>
      <c r="U33" s="133">
        <v>-0.76509</v>
      </c>
      <c r="V33" s="115">
        <v>0.380697</v>
      </c>
      <c r="W33" s="115">
        <v>-0.39376</v>
      </c>
      <c r="X33" s="133">
        <v>-1.17005</v>
      </c>
      <c r="Y33" s="116">
        <v>-0.13231</v>
      </c>
      <c r="Z33" s="65"/>
      <c r="AA33" s="132">
        <v>2.180534</v>
      </c>
    </row>
    <row r="34">
      <c r="A34" s="108" t="s">
        <v>126</v>
      </c>
      <c r="B34" s="108">
        <v>0.0</v>
      </c>
      <c r="C34" s="108">
        <v>0.0</v>
      </c>
      <c r="D34" s="108">
        <v>1.0</v>
      </c>
      <c r="E34" s="108">
        <v>5.0</v>
      </c>
      <c r="F34" s="108">
        <v>3.0</v>
      </c>
      <c r="G34" s="108">
        <v>3.0</v>
      </c>
      <c r="H34" s="108">
        <v>1.0</v>
      </c>
      <c r="I34" s="108">
        <v>1.0</v>
      </c>
      <c r="J34" s="108">
        <v>5.0</v>
      </c>
      <c r="K34" s="108">
        <v>1.0</v>
      </c>
      <c r="L34" s="108">
        <v>1.0</v>
      </c>
      <c r="N34" s="110" t="s">
        <v>82</v>
      </c>
      <c r="O34" s="114">
        <v>-0.20611</v>
      </c>
      <c r="P34" s="115">
        <v>0.315609</v>
      </c>
      <c r="Q34" s="115">
        <v>0.207688</v>
      </c>
      <c r="R34" s="115">
        <v>-0.38371</v>
      </c>
      <c r="S34" s="115">
        <v>0.293708</v>
      </c>
      <c r="T34" s="133">
        <v>-0.76509</v>
      </c>
      <c r="U34" s="123">
        <v>1.580035</v>
      </c>
      <c r="V34" s="115">
        <v>-0.04271</v>
      </c>
      <c r="W34" s="115">
        <v>-0.15753</v>
      </c>
      <c r="X34" s="115">
        <v>-0.36357</v>
      </c>
      <c r="Y34" s="116">
        <v>0.088027</v>
      </c>
      <c r="Z34" s="65"/>
      <c r="AA34" s="132">
        <v>1.256994</v>
      </c>
    </row>
    <row r="35">
      <c r="A35" s="108" t="s">
        <v>127</v>
      </c>
      <c r="B35" s="108">
        <v>3.0</v>
      </c>
      <c r="C35" s="108">
        <v>3.0</v>
      </c>
      <c r="D35" s="108">
        <v>3.0</v>
      </c>
      <c r="E35" s="108">
        <v>3.0</v>
      </c>
      <c r="F35" s="108">
        <v>3.0</v>
      </c>
      <c r="G35" s="108">
        <v>3.0</v>
      </c>
      <c r="H35" s="108">
        <v>2.0</v>
      </c>
      <c r="I35" s="108">
        <v>2.0</v>
      </c>
      <c r="J35" s="108">
        <v>4.0</v>
      </c>
      <c r="K35" s="108">
        <v>2.0</v>
      </c>
      <c r="L35" s="108">
        <v>2.0</v>
      </c>
      <c r="N35" s="110" t="s">
        <v>95</v>
      </c>
      <c r="O35" s="114">
        <v>-0.46568</v>
      </c>
      <c r="P35" s="115">
        <v>-0.23945</v>
      </c>
      <c r="Q35" s="115">
        <v>-0.12469</v>
      </c>
      <c r="R35" s="115">
        <v>0.492331</v>
      </c>
      <c r="S35" s="115">
        <v>-6.6E-4</v>
      </c>
      <c r="T35" s="115">
        <v>0.380697</v>
      </c>
      <c r="U35" s="115">
        <v>-0.04271</v>
      </c>
      <c r="V35" s="123">
        <v>1.310036</v>
      </c>
      <c r="W35" s="115">
        <v>-0.03731</v>
      </c>
      <c r="X35" s="115">
        <v>-0.11525</v>
      </c>
      <c r="Y35" s="116">
        <v>-0.10961</v>
      </c>
      <c r="Z35" s="65"/>
      <c r="AA35" s="132">
        <v>1.144568</v>
      </c>
    </row>
    <row r="36">
      <c r="A36" s="108" t="s">
        <v>128</v>
      </c>
      <c r="B36" s="108">
        <v>2.0</v>
      </c>
      <c r="C36" s="108">
        <v>2.0</v>
      </c>
      <c r="D36" s="108">
        <v>4.0</v>
      </c>
      <c r="E36" s="108">
        <v>3.0</v>
      </c>
      <c r="F36" s="108">
        <v>4.0</v>
      </c>
      <c r="G36" s="108">
        <v>3.0</v>
      </c>
      <c r="H36" s="108">
        <v>3.0</v>
      </c>
      <c r="I36" s="108">
        <v>3.0</v>
      </c>
      <c r="J36" s="108">
        <v>2.0</v>
      </c>
      <c r="K36" s="108">
        <v>3.0</v>
      </c>
      <c r="L36" s="108">
        <v>3.0</v>
      </c>
      <c r="N36" s="110" t="s">
        <v>83</v>
      </c>
      <c r="O36" s="114">
        <v>-0.28557</v>
      </c>
      <c r="P36" s="115">
        <v>0.126012</v>
      </c>
      <c r="Q36" s="115">
        <v>0.290381</v>
      </c>
      <c r="R36" s="115">
        <v>0.220382</v>
      </c>
      <c r="S36" s="115">
        <v>-0.19058</v>
      </c>
      <c r="T36" s="115">
        <v>-0.39376</v>
      </c>
      <c r="U36" s="115">
        <v>-0.15753</v>
      </c>
      <c r="V36" s="115">
        <v>-0.03731</v>
      </c>
      <c r="W36" s="123">
        <v>1.732422</v>
      </c>
      <c r="X36" s="133">
        <v>-0.86356</v>
      </c>
      <c r="Y36" s="116">
        <v>0.329017</v>
      </c>
      <c r="Z36" s="65"/>
      <c r="AA36" s="132">
        <v>1.316215</v>
      </c>
    </row>
    <row r="37">
      <c r="A37" s="108" t="s">
        <v>129</v>
      </c>
      <c r="B37" s="108">
        <v>2.0</v>
      </c>
      <c r="C37" s="108">
        <v>2.0</v>
      </c>
      <c r="D37" s="108">
        <v>3.0</v>
      </c>
      <c r="E37" s="108">
        <v>3.0</v>
      </c>
      <c r="F37" s="108">
        <v>4.0</v>
      </c>
      <c r="G37" s="108">
        <v>2.0</v>
      </c>
      <c r="H37" s="108">
        <v>2.0</v>
      </c>
      <c r="I37" s="108">
        <v>3.0</v>
      </c>
      <c r="J37" s="108">
        <v>1.0</v>
      </c>
      <c r="K37" s="108">
        <v>2.0</v>
      </c>
      <c r="L37" s="108">
        <v>2.0</v>
      </c>
      <c r="N37" s="110" t="s">
        <v>84</v>
      </c>
      <c r="O37" s="114">
        <v>0.27522</v>
      </c>
      <c r="P37" s="115">
        <v>-0.21355</v>
      </c>
      <c r="Q37" s="115">
        <v>-0.27761</v>
      </c>
      <c r="R37" s="115">
        <v>0.205539</v>
      </c>
      <c r="S37" s="115">
        <v>0.470033</v>
      </c>
      <c r="T37" s="133">
        <v>-1.17005</v>
      </c>
      <c r="U37" s="115">
        <v>-0.36357</v>
      </c>
      <c r="V37" s="115">
        <v>-0.11525</v>
      </c>
      <c r="W37" s="133">
        <v>-0.86356</v>
      </c>
      <c r="X37" s="123">
        <v>2.349057</v>
      </c>
      <c r="Y37" s="116">
        <v>0.202004</v>
      </c>
      <c r="Z37" s="65"/>
      <c r="AA37" s="132">
        <v>1.532663</v>
      </c>
    </row>
    <row r="38">
      <c r="A38" s="108" t="s">
        <v>130</v>
      </c>
      <c r="B38" s="108">
        <v>3.0</v>
      </c>
      <c r="C38" s="108">
        <v>3.0</v>
      </c>
      <c r="D38" s="108">
        <v>3.0</v>
      </c>
      <c r="E38" s="108">
        <v>5.0</v>
      </c>
      <c r="F38" s="108">
        <v>5.0</v>
      </c>
      <c r="G38" s="108">
        <v>3.0</v>
      </c>
      <c r="H38" s="108">
        <v>5.0</v>
      </c>
      <c r="I38" s="108">
        <v>3.0</v>
      </c>
      <c r="J38" s="108">
        <v>4.0</v>
      </c>
      <c r="K38" s="108">
        <v>5.0</v>
      </c>
      <c r="L38" s="108">
        <v>5.0</v>
      </c>
      <c r="N38" s="110" t="s">
        <v>90</v>
      </c>
      <c r="O38" s="117">
        <v>0.011965</v>
      </c>
      <c r="P38" s="118">
        <v>-0.48427</v>
      </c>
      <c r="Q38" s="135">
        <v>-1.39347</v>
      </c>
      <c r="R38" s="118">
        <v>0.379941</v>
      </c>
      <c r="S38" s="135">
        <v>-2.34775</v>
      </c>
      <c r="T38" s="118">
        <v>-0.13231</v>
      </c>
      <c r="U38" s="118">
        <v>0.088027</v>
      </c>
      <c r="V38" s="118">
        <v>-0.10961</v>
      </c>
      <c r="W38" s="118">
        <v>0.329017</v>
      </c>
      <c r="X38" s="118">
        <v>0.202004</v>
      </c>
      <c r="Y38" s="126">
        <v>3.943508</v>
      </c>
      <c r="Z38" s="65"/>
      <c r="AA38" s="136">
        <v>1.985827</v>
      </c>
    </row>
    <row r="39">
      <c r="A39" s="108" t="s">
        <v>131</v>
      </c>
      <c r="B39" s="108">
        <v>3.0</v>
      </c>
      <c r="C39" s="108">
        <v>4.0</v>
      </c>
      <c r="D39" s="108">
        <v>5.0</v>
      </c>
      <c r="E39" s="108">
        <v>5.0</v>
      </c>
      <c r="F39" s="108">
        <v>5.0</v>
      </c>
      <c r="G39" s="108">
        <v>3.0</v>
      </c>
      <c r="H39" s="108">
        <v>5.0</v>
      </c>
      <c r="I39" s="108">
        <v>4.0</v>
      </c>
      <c r="J39" s="108">
        <v>3.0</v>
      </c>
      <c r="K39" s="108">
        <v>4.0</v>
      </c>
      <c r="L39" s="108">
        <v>2.0</v>
      </c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65"/>
      <c r="AA39" s="65"/>
    </row>
    <row r="40">
      <c r="A40" s="108" t="s">
        <v>132</v>
      </c>
      <c r="B40" s="108">
        <v>2.0</v>
      </c>
      <c r="C40" s="108">
        <v>2.0</v>
      </c>
      <c r="D40" s="108">
        <v>5.0</v>
      </c>
      <c r="E40" s="108">
        <v>5.0</v>
      </c>
      <c r="F40" s="108">
        <v>4.0</v>
      </c>
      <c r="G40" s="108">
        <v>2.0</v>
      </c>
      <c r="H40" s="108">
        <v>5.0</v>
      </c>
      <c r="I40" s="108">
        <v>5.0</v>
      </c>
      <c r="J40" s="108">
        <v>4.0</v>
      </c>
      <c r="K40" s="108">
        <v>5.0</v>
      </c>
      <c r="L40" s="108">
        <v>5.0</v>
      </c>
      <c r="N40" s="110" t="s">
        <v>38</v>
      </c>
      <c r="Q40" s="109"/>
      <c r="R40" s="109"/>
      <c r="S40" s="109"/>
      <c r="T40" s="109"/>
      <c r="U40" s="109"/>
      <c r="V40" s="109"/>
      <c r="W40" s="109"/>
      <c r="X40" s="109"/>
      <c r="Y40" s="109"/>
      <c r="Z40" s="65"/>
      <c r="AA40" s="65"/>
    </row>
    <row r="41">
      <c r="A41" s="108" t="s">
        <v>133</v>
      </c>
      <c r="B41" s="108">
        <v>1.0</v>
      </c>
      <c r="C41" s="108">
        <v>1.0</v>
      </c>
      <c r="D41" s="108">
        <v>4.0</v>
      </c>
      <c r="E41" s="108">
        <v>3.0</v>
      </c>
      <c r="F41" s="108">
        <v>4.0</v>
      </c>
      <c r="G41" s="108">
        <v>2.0</v>
      </c>
      <c r="H41" s="108">
        <v>2.0</v>
      </c>
      <c r="I41" s="108">
        <v>2.0</v>
      </c>
      <c r="J41" s="108">
        <v>3.0</v>
      </c>
      <c r="K41" s="108">
        <v>2.0</v>
      </c>
      <c r="L41" s="108">
        <v>2.0</v>
      </c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65"/>
      <c r="AA41" s="65"/>
    </row>
    <row r="42">
      <c r="A42" s="108" t="s">
        <v>134</v>
      </c>
      <c r="B42" s="108">
        <v>2.0</v>
      </c>
      <c r="C42" s="108">
        <v>3.0</v>
      </c>
      <c r="D42" s="108">
        <v>5.0</v>
      </c>
      <c r="E42" s="108">
        <v>5.0</v>
      </c>
      <c r="F42" s="108">
        <v>5.0</v>
      </c>
      <c r="G42" s="108">
        <v>3.0</v>
      </c>
      <c r="H42" s="108">
        <v>5.0</v>
      </c>
      <c r="I42" s="108">
        <v>4.0</v>
      </c>
      <c r="J42" s="108">
        <v>2.0</v>
      </c>
      <c r="K42" s="108">
        <v>3.0</v>
      </c>
      <c r="L42" s="108">
        <v>1.0</v>
      </c>
      <c r="N42" s="109"/>
      <c r="O42" s="110" t="s">
        <v>93</v>
      </c>
      <c r="P42" s="110" t="s">
        <v>80</v>
      </c>
      <c r="Q42" s="110" t="s">
        <v>94</v>
      </c>
      <c r="R42" s="110" t="s">
        <v>81</v>
      </c>
      <c r="S42" s="110" t="s">
        <v>87</v>
      </c>
      <c r="T42" s="110" t="s">
        <v>86</v>
      </c>
      <c r="U42" s="110" t="s">
        <v>82</v>
      </c>
      <c r="V42" s="110" t="s">
        <v>95</v>
      </c>
      <c r="W42" s="110" t="s">
        <v>83</v>
      </c>
      <c r="X42" s="110" t="s">
        <v>84</v>
      </c>
      <c r="Y42" s="110" t="s">
        <v>90</v>
      </c>
      <c r="AA42" s="65"/>
    </row>
    <row r="43">
      <c r="A43" s="108" t="s">
        <v>135</v>
      </c>
      <c r="B43" s="108">
        <v>1.0</v>
      </c>
      <c r="C43" s="108">
        <v>1.0</v>
      </c>
      <c r="D43" s="108">
        <v>1.0</v>
      </c>
      <c r="E43" s="108">
        <v>5.0</v>
      </c>
      <c r="F43" s="108">
        <v>5.0</v>
      </c>
      <c r="G43" s="108">
        <v>1.0</v>
      </c>
      <c r="H43" s="108">
        <v>3.0</v>
      </c>
      <c r="I43" s="108">
        <v>4.0</v>
      </c>
      <c r="J43" s="108">
        <v>3.0</v>
      </c>
      <c r="K43" s="108">
        <v>3.0</v>
      </c>
      <c r="L43" s="108">
        <v>3.0</v>
      </c>
      <c r="N43" s="110" t="s">
        <v>93</v>
      </c>
      <c r="O43" s="120">
        <v>1.0</v>
      </c>
      <c r="P43" s="112">
        <v>0.510197</v>
      </c>
      <c r="Q43" s="112">
        <v>0.11964</v>
      </c>
      <c r="R43" s="112">
        <v>0.390194</v>
      </c>
      <c r="S43" s="112">
        <v>-0.04246</v>
      </c>
      <c r="T43" s="112">
        <v>-0.07516</v>
      </c>
      <c r="U43" s="112">
        <v>0.101985</v>
      </c>
      <c r="V43" s="112">
        <v>0.253061</v>
      </c>
      <c r="W43" s="112">
        <v>0.134948</v>
      </c>
      <c r="X43" s="112">
        <v>-0.11169</v>
      </c>
      <c r="Y43" s="113">
        <v>-0.00375</v>
      </c>
      <c r="Z43" s="65"/>
      <c r="AA43" s="65"/>
    </row>
    <row r="44">
      <c r="A44" s="108" t="s">
        <v>136</v>
      </c>
      <c r="B44" s="108">
        <v>4.0</v>
      </c>
      <c r="C44" s="108">
        <v>3.0</v>
      </c>
      <c r="D44" s="108">
        <v>4.0</v>
      </c>
      <c r="E44" s="108">
        <v>5.0</v>
      </c>
      <c r="F44" s="108">
        <v>4.0</v>
      </c>
      <c r="G44" s="108">
        <v>3.0</v>
      </c>
      <c r="H44" s="108">
        <v>2.0</v>
      </c>
      <c r="I44" s="108">
        <v>2.0</v>
      </c>
      <c r="J44" s="108">
        <v>2.0</v>
      </c>
      <c r="K44" s="108">
        <v>2.0</v>
      </c>
      <c r="L44" s="108">
        <v>2.0</v>
      </c>
      <c r="N44" s="110" t="s">
        <v>80</v>
      </c>
      <c r="O44" s="114">
        <v>0.510197</v>
      </c>
      <c r="P44" s="123">
        <v>1.0</v>
      </c>
      <c r="Q44" s="115">
        <v>-4.9E-4</v>
      </c>
      <c r="R44" s="115">
        <v>0.238933</v>
      </c>
      <c r="S44" s="115">
        <v>-0.26285</v>
      </c>
      <c r="T44" s="115">
        <v>0.072534</v>
      </c>
      <c r="U44" s="115">
        <v>-0.16796</v>
      </c>
      <c r="V44" s="115">
        <v>0.139946</v>
      </c>
      <c r="W44" s="115">
        <v>-0.06404</v>
      </c>
      <c r="X44" s="115">
        <v>0.093206</v>
      </c>
      <c r="Y44" s="116">
        <v>0.163132</v>
      </c>
      <c r="Z44" s="65"/>
      <c r="AA44" s="65"/>
    </row>
    <row r="45">
      <c r="A45" s="108" t="s">
        <v>137</v>
      </c>
      <c r="B45" s="108">
        <v>3.0</v>
      </c>
      <c r="C45" s="108">
        <v>3.0</v>
      </c>
      <c r="D45" s="108">
        <v>5.0</v>
      </c>
      <c r="E45" s="108">
        <v>2.0</v>
      </c>
      <c r="F45" s="108">
        <v>3.0</v>
      </c>
      <c r="G45" s="108">
        <v>3.0</v>
      </c>
      <c r="H45" s="108">
        <v>4.0</v>
      </c>
      <c r="I45" s="108">
        <v>4.0</v>
      </c>
      <c r="J45" s="108">
        <v>5.0</v>
      </c>
      <c r="K45" s="108">
        <v>4.0</v>
      </c>
      <c r="L45" s="108">
        <v>4.0</v>
      </c>
      <c r="N45" s="110" t="s">
        <v>94</v>
      </c>
      <c r="O45" s="114">
        <v>0.11964</v>
      </c>
      <c r="P45" s="115">
        <v>-4.9E-4</v>
      </c>
      <c r="Q45" s="123">
        <v>1.0</v>
      </c>
      <c r="R45" s="115">
        <v>-0.09286</v>
      </c>
      <c r="S45" s="115">
        <v>0.064078</v>
      </c>
      <c r="T45" s="115">
        <v>0.440203</v>
      </c>
      <c r="U45" s="115">
        <v>-0.08677</v>
      </c>
      <c r="V45" s="115">
        <v>0.057212</v>
      </c>
      <c r="W45" s="115">
        <v>-0.11587</v>
      </c>
      <c r="X45" s="115">
        <v>0.095127</v>
      </c>
      <c r="Y45" s="116">
        <v>0.368526</v>
      </c>
      <c r="Z45" s="65"/>
      <c r="AA45" s="65"/>
    </row>
    <row r="46">
      <c r="A46" s="108" t="s">
        <v>138</v>
      </c>
      <c r="B46" s="108">
        <v>4.0</v>
      </c>
      <c r="C46" s="108">
        <v>4.0</v>
      </c>
      <c r="D46" s="108">
        <v>4.0</v>
      </c>
      <c r="E46" s="108">
        <v>4.0</v>
      </c>
      <c r="F46" s="108">
        <v>4.0</v>
      </c>
      <c r="G46" s="108">
        <v>4.0</v>
      </c>
      <c r="H46" s="108">
        <v>3.0</v>
      </c>
      <c r="I46" s="108">
        <v>3.0</v>
      </c>
      <c r="J46" s="108">
        <v>3.0</v>
      </c>
      <c r="K46" s="108">
        <v>3.0</v>
      </c>
      <c r="L46" s="108">
        <v>3.0</v>
      </c>
      <c r="N46" s="110" t="s">
        <v>81</v>
      </c>
      <c r="O46" s="114">
        <v>0.390194</v>
      </c>
      <c r="P46" s="115">
        <v>0.238933</v>
      </c>
      <c r="Q46" s="115">
        <v>-0.09286</v>
      </c>
      <c r="R46" s="123">
        <v>1.0</v>
      </c>
      <c r="S46" s="115">
        <v>0.398734</v>
      </c>
      <c r="T46" s="115">
        <v>0.032987</v>
      </c>
      <c r="U46" s="115">
        <v>0.195823</v>
      </c>
      <c r="V46" s="115">
        <v>-0.27593</v>
      </c>
      <c r="W46" s="115">
        <v>-0.10741</v>
      </c>
      <c r="X46" s="115">
        <v>-0.08603</v>
      </c>
      <c r="Y46" s="116">
        <v>-0.12273</v>
      </c>
      <c r="Z46" s="65"/>
      <c r="AA46" s="65"/>
    </row>
    <row r="47">
      <c r="A47" s="108" t="s">
        <v>139</v>
      </c>
      <c r="B47" s="108">
        <v>3.0</v>
      </c>
      <c r="C47" s="108">
        <v>3.0</v>
      </c>
      <c r="D47" s="108">
        <v>4.0</v>
      </c>
      <c r="E47" s="108">
        <v>5.0</v>
      </c>
      <c r="F47" s="108">
        <v>4.0</v>
      </c>
      <c r="G47" s="108">
        <v>3.0</v>
      </c>
      <c r="H47" s="108">
        <v>2.0</v>
      </c>
      <c r="I47" s="108">
        <v>2.0</v>
      </c>
      <c r="J47" s="108">
        <v>2.0</v>
      </c>
      <c r="K47" s="108">
        <v>2.0</v>
      </c>
      <c r="L47" s="108">
        <v>2.0</v>
      </c>
      <c r="N47" s="110" t="s">
        <v>87</v>
      </c>
      <c r="O47" s="114">
        <v>-0.04246</v>
      </c>
      <c r="P47" s="115">
        <v>-0.26285</v>
      </c>
      <c r="Q47" s="115">
        <v>0.064078</v>
      </c>
      <c r="R47" s="115">
        <v>0.398734</v>
      </c>
      <c r="S47" s="123">
        <v>1.0</v>
      </c>
      <c r="T47" s="115">
        <v>0.325412</v>
      </c>
      <c r="U47" s="115">
        <v>-0.10848</v>
      </c>
      <c r="V47" s="115">
        <v>2.69E-4</v>
      </c>
      <c r="W47" s="115">
        <v>0.067222</v>
      </c>
      <c r="X47" s="115">
        <v>-0.14238</v>
      </c>
      <c r="Y47" s="116">
        <v>0.548873</v>
      </c>
      <c r="Z47" s="65"/>
      <c r="AA47" s="65"/>
    </row>
    <row r="48">
      <c r="A48" s="108" t="s">
        <v>140</v>
      </c>
      <c r="B48" s="108">
        <v>3.0</v>
      </c>
      <c r="C48" s="108">
        <v>3.0</v>
      </c>
      <c r="D48" s="108">
        <v>5.0</v>
      </c>
      <c r="E48" s="108">
        <v>5.0</v>
      </c>
      <c r="F48" s="108">
        <v>4.0</v>
      </c>
      <c r="G48" s="108">
        <v>3.0</v>
      </c>
      <c r="H48" s="108">
        <v>1.0</v>
      </c>
      <c r="I48" s="108">
        <v>1.0</v>
      </c>
      <c r="J48" s="108">
        <v>3.0</v>
      </c>
      <c r="K48" s="108">
        <v>1.0</v>
      </c>
      <c r="L48" s="108">
        <v>1.0</v>
      </c>
      <c r="N48" s="110" t="s">
        <v>86</v>
      </c>
      <c r="O48" s="114">
        <v>-0.07516</v>
      </c>
      <c r="P48" s="115">
        <v>0.072534</v>
      </c>
      <c r="Q48" s="115">
        <v>0.440203</v>
      </c>
      <c r="R48" s="115">
        <v>0.032987</v>
      </c>
      <c r="S48" s="115">
        <v>0.325412</v>
      </c>
      <c r="T48" s="123">
        <v>1.0</v>
      </c>
      <c r="U48" s="115">
        <v>0.279136</v>
      </c>
      <c r="V48" s="115">
        <v>-0.15254</v>
      </c>
      <c r="W48" s="115">
        <v>0.137197</v>
      </c>
      <c r="X48" s="115">
        <v>0.350103</v>
      </c>
      <c r="Y48" s="116">
        <v>0.030555</v>
      </c>
      <c r="Z48" s="65"/>
      <c r="AA48" s="65"/>
    </row>
    <row r="49">
      <c r="A49" s="108" t="s">
        <v>141</v>
      </c>
      <c r="B49" s="108">
        <v>1.0</v>
      </c>
      <c r="C49" s="108">
        <v>1.0</v>
      </c>
      <c r="D49" s="108">
        <v>1.0</v>
      </c>
      <c r="E49" s="108">
        <v>3.0</v>
      </c>
      <c r="F49" s="108">
        <v>3.0</v>
      </c>
      <c r="G49" s="108">
        <v>2.0</v>
      </c>
      <c r="H49" s="108">
        <v>1.0</v>
      </c>
      <c r="I49" s="108">
        <v>1.0</v>
      </c>
      <c r="J49" s="108">
        <v>4.0</v>
      </c>
      <c r="K49" s="108">
        <v>1.0</v>
      </c>
      <c r="L49" s="108">
        <v>1.0</v>
      </c>
      <c r="N49" s="110" t="s">
        <v>82</v>
      </c>
      <c r="O49" s="114">
        <v>0.101985</v>
      </c>
      <c r="P49" s="115">
        <v>-0.16796</v>
      </c>
      <c r="Q49" s="115">
        <v>-0.08677</v>
      </c>
      <c r="R49" s="115">
        <v>0.195823</v>
      </c>
      <c r="S49" s="115">
        <v>-0.10848</v>
      </c>
      <c r="T49" s="115">
        <v>0.279136</v>
      </c>
      <c r="U49" s="123">
        <v>1.0</v>
      </c>
      <c r="V49" s="115">
        <v>0.029687</v>
      </c>
      <c r="W49" s="115">
        <v>0.095215</v>
      </c>
      <c r="X49" s="115">
        <v>0.188717</v>
      </c>
      <c r="Y49" s="116">
        <v>-0.03526</v>
      </c>
      <c r="Z49" s="65"/>
      <c r="AA49" s="65"/>
    </row>
    <row r="50">
      <c r="A50" s="108" t="s">
        <v>142</v>
      </c>
      <c r="B50" s="108">
        <v>3.0</v>
      </c>
      <c r="C50" s="108">
        <v>3.0</v>
      </c>
      <c r="D50" s="108">
        <v>4.0</v>
      </c>
      <c r="E50" s="108">
        <v>4.0</v>
      </c>
      <c r="F50" s="108">
        <v>4.0</v>
      </c>
      <c r="G50" s="108">
        <v>3.0</v>
      </c>
      <c r="H50" s="108">
        <v>2.0</v>
      </c>
      <c r="I50" s="108">
        <v>2.0</v>
      </c>
      <c r="J50" s="108">
        <v>5.0</v>
      </c>
      <c r="K50" s="108">
        <v>2.0</v>
      </c>
      <c r="L50" s="108">
        <v>2.0</v>
      </c>
      <c r="N50" s="110" t="s">
        <v>95</v>
      </c>
      <c r="O50" s="114">
        <v>0.253061</v>
      </c>
      <c r="P50" s="115">
        <v>0.139946</v>
      </c>
      <c r="Q50" s="115">
        <v>0.057212</v>
      </c>
      <c r="R50" s="115">
        <v>-0.27593</v>
      </c>
      <c r="S50" s="115">
        <v>2.69E-4</v>
      </c>
      <c r="T50" s="115">
        <v>-0.15254</v>
      </c>
      <c r="U50" s="115">
        <v>0.029687</v>
      </c>
      <c r="V50" s="123">
        <v>1.0</v>
      </c>
      <c r="W50" s="115">
        <v>0.024763</v>
      </c>
      <c r="X50" s="115">
        <v>0.065698</v>
      </c>
      <c r="Y50" s="116">
        <v>0.048225</v>
      </c>
      <c r="Z50" s="65"/>
      <c r="AA50" s="65"/>
    </row>
    <row r="51">
      <c r="A51" s="108" t="s">
        <v>143</v>
      </c>
      <c r="B51" s="108">
        <v>2.0</v>
      </c>
      <c r="C51" s="108">
        <v>2.0</v>
      </c>
      <c r="D51" s="108">
        <v>4.0</v>
      </c>
      <c r="E51" s="108">
        <v>4.0</v>
      </c>
      <c r="F51" s="108">
        <v>5.0</v>
      </c>
      <c r="G51" s="108">
        <v>2.0</v>
      </c>
      <c r="H51" s="108">
        <v>2.0</v>
      </c>
      <c r="I51" s="108">
        <v>2.0</v>
      </c>
      <c r="J51" s="108">
        <v>4.0</v>
      </c>
      <c r="K51" s="108">
        <v>2.0</v>
      </c>
      <c r="L51" s="108">
        <v>2.0</v>
      </c>
      <c r="N51" s="110" t="s">
        <v>83</v>
      </c>
      <c r="O51" s="114">
        <v>0.134948</v>
      </c>
      <c r="P51" s="115">
        <v>-0.06404</v>
      </c>
      <c r="Q51" s="115">
        <v>-0.11587</v>
      </c>
      <c r="R51" s="115">
        <v>-0.10741</v>
      </c>
      <c r="S51" s="115">
        <v>0.067222</v>
      </c>
      <c r="T51" s="115">
        <v>0.137197</v>
      </c>
      <c r="U51" s="115">
        <v>0.095215</v>
      </c>
      <c r="V51" s="115">
        <v>0.024763</v>
      </c>
      <c r="W51" s="123">
        <v>1.0</v>
      </c>
      <c r="X51" s="115">
        <v>0.428075</v>
      </c>
      <c r="Y51" s="116">
        <v>-0.12588</v>
      </c>
      <c r="Z51" s="65"/>
      <c r="AA51" s="65"/>
    </row>
    <row r="52">
      <c r="A52" s="108" t="s">
        <v>144</v>
      </c>
      <c r="B52" s="108">
        <v>3.0</v>
      </c>
      <c r="C52" s="108">
        <v>1.0</v>
      </c>
      <c r="D52" s="108">
        <v>3.0</v>
      </c>
      <c r="E52" s="108">
        <v>3.0</v>
      </c>
      <c r="F52" s="108">
        <v>3.0</v>
      </c>
      <c r="G52" s="108">
        <v>3.0</v>
      </c>
      <c r="H52" s="108">
        <v>3.0</v>
      </c>
      <c r="I52" s="108">
        <v>2.0</v>
      </c>
      <c r="J52" s="108">
        <v>3.0</v>
      </c>
      <c r="K52" s="108">
        <v>1.0</v>
      </c>
      <c r="L52" s="108">
        <v>1.0</v>
      </c>
      <c r="N52" s="110" t="s">
        <v>84</v>
      </c>
      <c r="O52" s="114">
        <v>-0.11169</v>
      </c>
      <c r="P52" s="115">
        <v>0.093206</v>
      </c>
      <c r="Q52" s="115">
        <v>0.095127</v>
      </c>
      <c r="R52" s="115">
        <v>-0.08603</v>
      </c>
      <c r="S52" s="115">
        <v>-0.14238</v>
      </c>
      <c r="T52" s="115">
        <v>0.350103</v>
      </c>
      <c r="U52" s="115">
        <v>0.188717</v>
      </c>
      <c r="V52" s="115">
        <v>0.065698</v>
      </c>
      <c r="W52" s="115">
        <v>0.428075</v>
      </c>
      <c r="X52" s="123">
        <v>1.0</v>
      </c>
      <c r="Y52" s="116">
        <v>-0.06637</v>
      </c>
      <c r="Z52" s="65"/>
      <c r="AA52" s="65"/>
    </row>
    <row r="53">
      <c r="A53" s="108" t="s">
        <v>145</v>
      </c>
      <c r="B53" s="108">
        <v>1.0</v>
      </c>
      <c r="C53" s="108">
        <v>1.0</v>
      </c>
      <c r="D53" s="108">
        <v>3.0</v>
      </c>
      <c r="E53" s="108">
        <v>4.0</v>
      </c>
      <c r="F53" s="108">
        <v>5.0</v>
      </c>
      <c r="G53" s="108">
        <v>1.0</v>
      </c>
      <c r="H53" s="108">
        <v>2.0</v>
      </c>
      <c r="I53" s="108">
        <v>2.0</v>
      </c>
      <c r="J53" s="108">
        <v>4.0</v>
      </c>
      <c r="K53" s="108">
        <v>2.0</v>
      </c>
      <c r="L53" s="108">
        <v>2.0</v>
      </c>
      <c r="N53" s="110" t="s">
        <v>90</v>
      </c>
      <c r="O53" s="117">
        <v>-0.00375</v>
      </c>
      <c r="P53" s="118">
        <v>0.163132</v>
      </c>
      <c r="Q53" s="118">
        <v>0.368526</v>
      </c>
      <c r="R53" s="118">
        <v>-0.12273</v>
      </c>
      <c r="S53" s="118">
        <v>0.548873</v>
      </c>
      <c r="T53" s="118">
        <v>0.030555</v>
      </c>
      <c r="U53" s="118">
        <v>-0.03526</v>
      </c>
      <c r="V53" s="118">
        <v>0.048225</v>
      </c>
      <c r="W53" s="118">
        <v>-0.12588</v>
      </c>
      <c r="X53" s="118">
        <v>-0.06637</v>
      </c>
      <c r="Y53" s="126">
        <v>1.0</v>
      </c>
      <c r="Z53" s="65"/>
      <c r="AA53" s="65"/>
    </row>
    <row r="54">
      <c r="A54" s="108" t="s">
        <v>146</v>
      </c>
      <c r="B54" s="108">
        <v>3.0</v>
      </c>
      <c r="C54" s="108">
        <v>1.0</v>
      </c>
      <c r="D54" s="108">
        <v>1.0</v>
      </c>
      <c r="E54" s="108">
        <v>3.0</v>
      </c>
      <c r="F54" s="108">
        <v>4.0</v>
      </c>
      <c r="G54" s="108">
        <v>1.0</v>
      </c>
      <c r="H54" s="108">
        <v>1.0</v>
      </c>
      <c r="I54" s="108">
        <v>1.0</v>
      </c>
      <c r="J54" s="108">
        <v>2.0</v>
      </c>
      <c r="K54" s="108">
        <v>1.0</v>
      </c>
      <c r="L54" s="108">
        <v>1.0</v>
      </c>
      <c r="N54" s="109"/>
      <c r="O54" s="115">
        <v>0.539458</v>
      </c>
      <c r="P54" s="115">
        <v>0.478939</v>
      </c>
      <c r="Q54" s="115">
        <v>0.38991</v>
      </c>
      <c r="R54" s="115">
        <v>0.526528</v>
      </c>
      <c r="S54" s="123">
        <v>0.677699</v>
      </c>
      <c r="T54" s="115">
        <v>0.555182</v>
      </c>
      <c r="U54" s="115">
        <v>0.220978</v>
      </c>
      <c r="V54" s="115">
        <v>0.194442</v>
      </c>
      <c r="W54" s="115">
        <v>0.279389</v>
      </c>
      <c r="X54" s="115">
        <v>0.408039</v>
      </c>
      <c r="Y54" s="115">
        <v>0.503516</v>
      </c>
      <c r="Z54" s="127">
        <v>4.774081</v>
      </c>
      <c r="AA54" s="65"/>
    </row>
    <row r="55">
      <c r="A55" s="108" t="s">
        <v>147</v>
      </c>
      <c r="B55" s="108">
        <v>4.0</v>
      </c>
      <c r="C55" s="108">
        <v>4.0</v>
      </c>
      <c r="D55" s="108">
        <v>1.0</v>
      </c>
      <c r="E55" s="108">
        <v>3.0</v>
      </c>
      <c r="F55" s="108">
        <v>4.0</v>
      </c>
      <c r="G55" s="108">
        <v>4.0</v>
      </c>
      <c r="H55" s="108">
        <v>4.0</v>
      </c>
      <c r="I55" s="108">
        <v>4.0</v>
      </c>
      <c r="J55" s="108">
        <v>2.0</v>
      </c>
      <c r="K55" s="108">
        <v>4.0</v>
      </c>
      <c r="L55" s="108">
        <v>4.0</v>
      </c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65"/>
      <c r="AA55" s="65"/>
    </row>
    <row r="56">
      <c r="A56" s="108" t="s">
        <v>148</v>
      </c>
      <c r="B56" s="108">
        <v>5.0</v>
      </c>
      <c r="C56" s="108">
        <v>4.0</v>
      </c>
      <c r="D56" s="108">
        <v>3.0</v>
      </c>
      <c r="E56" s="108">
        <v>3.0</v>
      </c>
      <c r="F56" s="108">
        <v>3.0</v>
      </c>
      <c r="G56" s="108">
        <v>4.0</v>
      </c>
      <c r="H56" s="108">
        <v>3.0</v>
      </c>
      <c r="I56" s="108">
        <v>5.0</v>
      </c>
      <c r="J56" s="108">
        <v>5.0</v>
      </c>
      <c r="K56" s="108">
        <v>2.0</v>
      </c>
      <c r="L56" s="108">
        <v>4.0</v>
      </c>
      <c r="N56" s="110" t="s">
        <v>39</v>
      </c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65"/>
      <c r="AA56" s="65"/>
    </row>
    <row r="57">
      <c r="A57" s="108" t="s">
        <v>149</v>
      </c>
      <c r="B57" s="108">
        <v>2.0</v>
      </c>
      <c r="C57" s="108">
        <v>2.0</v>
      </c>
      <c r="D57" s="108">
        <v>4.0</v>
      </c>
      <c r="E57" s="108">
        <v>4.0</v>
      </c>
      <c r="F57" s="108">
        <v>5.0</v>
      </c>
      <c r="G57" s="108">
        <v>2.0</v>
      </c>
      <c r="H57" s="108">
        <v>5.0</v>
      </c>
      <c r="I57" s="108">
        <v>3.0</v>
      </c>
      <c r="J57" s="108">
        <v>4.0</v>
      </c>
      <c r="K57" s="108">
        <v>5.0</v>
      </c>
      <c r="L57" s="108">
        <v>5.0</v>
      </c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65"/>
      <c r="AA57" s="65"/>
    </row>
    <row r="58">
      <c r="A58" s="108" t="s">
        <v>150</v>
      </c>
      <c r="B58" s="108">
        <v>2.0</v>
      </c>
      <c r="C58" s="108">
        <v>4.0</v>
      </c>
      <c r="D58" s="108">
        <v>3.0</v>
      </c>
      <c r="E58" s="108">
        <v>3.0</v>
      </c>
      <c r="F58" s="108">
        <v>3.0</v>
      </c>
      <c r="G58" s="108">
        <v>3.0</v>
      </c>
      <c r="H58" s="108">
        <v>3.0</v>
      </c>
      <c r="I58" s="108">
        <v>4.0</v>
      </c>
      <c r="J58" s="108">
        <v>3.0</v>
      </c>
      <c r="K58" s="108">
        <v>5.0</v>
      </c>
      <c r="L58" s="108">
        <v>3.0</v>
      </c>
      <c r="N58" s="109"/>
      <c r="O58" s="110" t="s">
        <v>93</v>
      </c>
      <c r="P58" s="110" t="s">
        <v>80</v>
      </c>
      <c r="Q58" s="110" t="s">
        <v>94</v>
      </c>
      <c r="R58" s="110" t="s">
        <v>81</v>
      </c>
      <c r="S58" s="110" t="s">
        <v>87</v>
      </c>
      <c r="T58" s="110" t="s">
        <v>86</v>
      </c>
      <c r="U58" s="110" t="s">
        <v>82</v>
      </c>
      <c r="V58" s="110" t="s">
        <v>95</v>
      </c>
      <c r="W58" s="110" t="s">
        <v>83</v>
      </c>
      <c r="X58" s="110" t="s">
        <v>84</v>
      </c>
      <c r="Y58" s="110" t="s">
        <v>90</v>
      </c>
      <c r="AA58" s="65"/>
    </row>
    <row r="59">
      <c r="A59" s="108" t="s">
        <v>151</v>
      </c>
      <c r="B59" s="108">
        <v>3.0</v>
      </c>
      <c r="C59" s="108">
        <v>3.0</v>
      </c>
      <c r="D59" s="108">
        <v>4.0</v>
      </c>
      <c r="E59" s="108">
        <v>4.0</v>
      </c>
      <c r="F59" s="108">
        <v>3.0</v>
      </c>
      <c r="G59" s="108">
        <v>3.0</v>
      </c>
      <c r="H59" s="108">
        <v>3.0</v>
      </c>
      <c r="I59" s="108">
        <v>3.0</v>
      </c>
      <c r="J59" s="108">
        <v>3.0</v>
      </c>
      <c r="K59" s="108">
        <v>3.0</v>
      </c>
      <c r="L59" s="108">
        <v>3.0</v>
      </c>
      <c r="N59" s="109"/>
      <c r="O59" s="137">
        <v>0.648789</v>
      </c>
      <c r="P59" s="138">
        <v>0.628714</v>
      </c>
      <c r="Q59" s="138">
        <v>0.834979</v>
      </c>
      <c r="R59" s="138">
        <v>0.688581</v>
      </c>
      <c r="S59" s="138">
        <v>0.744912</v>
      </c>
      <c r="T59" s="138">
        <v>0.801284</v>
      </c>
      <c r="U59" s="138">
        <v>0.76734</v>
      </c>
      <c r="V59" s="139">
        <v>0.548579</v>
      </c>
      <c r="W59" s="138">
        <v>0.697954</v>
      </c>
      <c r="X59" s="138">
        <v>0.714297</v>
      </c>
      <c r="Y59" s="138">
        <v>0.784686</v>
      </c>
      <c r="Z59" s="140">
        <v>0.740571</v>
      </c>
      <c r="AA59" s="65"/>
    </row>
    <row r="60">
      <c r="A60" s="108" t="s">
        <v>152</v>
      </c>
      <c r="B60" s="108">
        <v>4.0</v>
      </c>
      <c r="C60" s="108">
        <v>4.0</v>
      </c>
      <c r="D60" s="108">
        <v>2.0</v>
      </c>
      <c r="E60" s="108">
        <v>1.0</v>
      </c>
      <c r="F60" s="108">
        <v>5.0</v>
      </c>
      <c r="G60" s="108">
        <v>4.0</v>
      </c>
      <c r="H60" s="108">
        <v>2.0</v>
      </c>
      <c r="I60" s="108">
        <v>2.0</v>
      </c>
      <c r="J60" s="108">
        <v>5.0</v>
      </c>
      <c r="K60" s="108">
        <v>2.0</v>
      </c>
      <c r="L60" s="108">
        <v>2.0</v>
      </c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65"/>
      <c r="AA60" s="65"/>
    </row>
    <row r="61">
      <c r="A61" s="108" t="s">
        <v>153</v>
      </c>
      <c r="B61" s="108">
        <v>3.0</v>
      </c>
      <c r="C61" s="108">
        <v>1.0</v>
      </c>
      <c r="D61" s="108">
        <v>5.0</v>
      </c>
      <c r="E61" s="108">
        <v>3.0</v>
      </c>
      <c r="F61" s="108">
        <v>4.0</v>
      </c>
      <c r="G61" s="108">
        <v>1.0</v>
      </c>
      <c r="H61" s="108">
        <v>3.0</v>
      </c>
      <c r="I61" s="108">
        <v>1.0</v>
      </c>
      <c r="J61" s="108">
        <v>2.0</v>
      </c>
      <c r="K61" s="108">
        <v>1.0</v>
      </c>
      <c r="L61" s="108">
        <v>1.0</v>
      </c>
      <c r="N61" s="110" t="s">
        <v>40</v>
      </c>
      <c r="Q61" s="109"/>
      <c r="R61" s="109"/>
      <c r="S61" s="109"/>
      <c r="T61" s="109"/>
      <c r="U61" s="109"/>
      <c r="V61" s="109"/>
      <c r="W61" s="109"/>
      <c r="X61" s="109"/>
      <c r="Y61" s="109"/>
      <c r="Z61" s="65"/>
      <c r="AA61" s="65"/>
    </row>
    <row r="62">
      <c r="A62" s="108" t="s">
        <v>154</v>
      </c>
      <c r="B62" s="108">
        <v>3.0</v>
      </c>
      <c r="C62" s="108">
        <v>1.0</v>
      </c>
      <c r="D62" s="108">
        <v>3.0</v>
      </c>
      <c r="E62" s="108">
        <v>3.0</v>
      </c>
      <c r="F62" s="108">
        <v>3.0</v>
      </c>
      <c r="G62" s="108">
        <v>1.0</v>
      </c>
      <c r="H62" s="108">
        <v>1.0</v>
      </c>
      <c r="I62" s="108">
        <v>1.0</v>
      </c>
      <c r="J62" s="108">
        <v>3.0</v>
      </c>
      <c r="K62" s="108">
        <v>1.0</v>
      </c>
      <c r="L62" s="108">
        <v>1.0</v>
      </c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65"/>
      <c r="AA62" s="65"/>
    </row>
    <row r="63">
      <c r="A63" s="108" t="s">
        <v>155</v>
      </c>
      <c r="B63" s="108">
        <v>3.0</v>
      </c>
      <c r="C63" s="108">
        <v>3.0</v>
      </c>
      <c r="D63" s="108">
        <v>5.0</v>
      </c>
      <c r="E63" s="108">
        <v>2.0</v>
      </c>
      <c r="F63" s="108">
        <v>4.0</v>
      </c>
      <c r="G63" s="108">
        <v>3.0</v>
      </c>
      <c r="H63" s="108">
        <v>3.0</v>
      </c>
      <c r="I63" s="108">
        <v>3.0</v>
      </c>
      <c r="J63" s="108">
        <v>4.0</v>
      </c>
      <c r="K63" s="108">
        <v>3.0</v>
      </c>
      <c r="L63" s="108">
        <v>3.0</v>
      </c>
      <c r="N63" s="109"/>
      <c r="O63" s="137">
        <v>3.874756</v>
      </c>
      <c r="P63" s="138">
        <v>2.17262</v>
      </c>
      <c r="Q63" s="138">
        <v>1.722109</v>
      </c>
      <c r="R63" s="138">
        <v>1.024674</v>
      </c>
      <c r="S63" s="138">
        <v>0.614475</v>
      </c>
      <c r="T63" s="139">
        <v>0.475865</v>
      </c>
      <c r="U63" s="139">
        <v>0.327613</v>
      </c>
      <c r="V63" s="139">
        <v>0.270436</v>
      </c>
      <c r="W63" s="139">
        <v>0.220704</v>
      </c>
      <c r="X63" s="139">
        <v>0.174172</v>
      </c>
      <c r="Y63" s="141">
        <v>0.122576</v>
      </c>
      <c r="Z63" s="65"/>
      <c r="AA63" s="65"/>
    </row>
    <row r="64">
      <c r="A64" s="108" t="s">
        <v>156</v>
      </c>
      <c r="B64" s="108">
        <v>1.0</v>
      </c>
      <c r="C64" s="108">
        <v>1.0</v>
      </c>
      <c r="D64" s="108">
        <v>4.0</v>
      </c>
      <c r="E64" s="108">
        <v>1.0</v>
      </c>
      <c r="F64" s="108">
        <v>4.0</v>
      </c>
      <c r="G64" s="108">
        <v>1.0</v>
      </c>
      <c r="H64" s="108">
        <v>4.0</v>
      </c>
      <c r="I64" s="108">
        <v>4.0</v>
      </c>
      <c r="J64" s="108">
        <v>1.0</v>
      </c>
      <c r="K64" s="108">
        <v>4.0</v>
      </c>
      <c r="L64" s="108">
        <v>4.0</v>
      </c>
      <c r="N64" s="109"/>
      <c r="O64" s="114">
        <v>-0.19106</v>
      </c>
      <c r="P64" s="115">
        <v>-0.4635</v>
      </c>
      <c r="Q64" s="115">
        <v>-0.35796</v>
      </c>
      <c r="R64" s="115">
        <v>-0.09979</v>
      </c>
      <c r="S64" s="115">
        <v>-0.04758</v>
      </c>
      <c r="T64" s="115">
        <v>-0.08934</v>
      </c>
      <c r="U64" s="115">
        <v>-0.27214</v>
      </c>
      <c r="V64" s="115">
        <v>-0.58915</v>
      </c>
      <c r="W64" s="115">
        <v>-0.37278</v>
      </c>
      <c r="X64" s="115">
        <v>-0.19848</v>
      </c>
      <c r="Y64" s="116">
        <v>-0.02852</v>
      </c>
      <c r="Z64" s="65"/>
      <c r="AA64" s="65"/>
    </row>
    <row r="65">
      <c r="A65" s="108" t="s">
        <v>157</v>
      </c>
      <c r="B65" s="108">
        <v>1.0</v>
      </c>
      <c r="C65" s="108">
        <v>1.0</v>
      </c>
      <c r="D65" s="108">
        <v>3.0</v>
      </c>
      <c r="E65" s="108">
        <v>5.0</v>
      </c>
      <c r="F65" s="108">
        <v>5.0</v>
      </c>
      <c r="G65" s="108">
        <v>1.0</v>
      </c>
      <c r="H65" s="108">
        <v>5.0</v>
      </c>
      <c r="I65" s="108">
        <v>5.0</v>
      </c>
      <c r="J65" s="108">
        <v>2.0</v>
      </c>
      <c r="K65" s="108">
        <v>5.0</v>
      </c>
      <c r="L65" s="108">
        <v>5.0</v>
      </c>
      <c r="N65" s="109"/>
      <c r="O65" s="114">
        <v>-0.14755</v>
      </c>
      <c r="P65" s="115">
        <v>-0.46531</v>
      </c>
      <c r="Q65" s="115">
        <v>-0.34967</v>
      </c>
      <c r="R65" s="115">
        <v>0.001617</v>
      </c>
      <c r="S65" s="115">
        <v>-0.31499</v>
      </c>
      <c r="T65" s="115">
        <v>0.401694</v>
      </c>
      <c r="U65" s="115">
        <v>-0.11488</v>
      </c>
      <c r="V65" s="115">
        <v>0.54899</v>
      </c>
      <c r="W65" s="115">
        <v>0.173758</v>
      </c>
      <c r="X65" s="115">
        <v>-0.06981</v>
      </c>
      <c r="Y65" s="116">
        <v>0.170914</v>
      </c>
      <c r="Z65" s="65"/>
      <c r="AA65" s="65"/>
    </row>
    <row r="66">
      <c r="A66" s="108" t="s">
        <v>158</v>
      </c>
      <c r="B66" s="108">
        <v>3.0</v>
      </c>
      <c r="C66" s="108">
        <v>4.0</v>
      </c>
      <c r="D66" s="108">
        <v>5.0</v>
      </c>
      <c r="E66" s="108">
        <v>5.0</v>
      </c>
      <c r="F66" s="108">
        <v>5.0</v>
      </c>
      <c r="G66" s="108">
        <v>3.0</v>
      </c>
      <c r="H66" s="108">
        <v>5.0</v>
      </c>
      <c r="I66" s="108">
        <v>5.0</v>
      </c>
      <c r="J66" s="108">
        <v>3.0</v>
      </c>
      <c r="K66" s="108">
        <v>3.0</v>
      </c>
      <c r="L66" s="108">
        <v>3.0</v>
      </c>
      <c r="N66" s="109"/>
      <c r="O66" s="114">
        <v>-0.43041</v>
      </c>
      <c r="P66" s="115">
        <v>0.018357</v>
      </c>
      <c r="Q66" s="115">
        <v>0.151635</v>
      </c>
      <c r="R66" s="115">
        <v>0.272003</v>
      </c>
      <c r="S66" s="115">
        <v>-0.04856</v>
      </c>
      <c r="T66" s="115">
        <v>0.230081</v>
      </c>
      <c r="U66" s="115">
        <v>-0.16613</v>
      </c>
      <c r="V66" s="115">
        <v>-0.40409</v>
      </c>
      <c r="W66" s="115">
        <v>0.427946</v>
      </c>
      <c r="X66" s="115">
        <v>0.450914</v>
      </c>
      <c r="Y66" s="116">
        <v>0.291194</v>
      </c>
      <c r="Z66" s="65"/>
      <c r="AA66" s="65"/>
    </row>
    <row r="67">
      <c r="A67" s="108" t="s">
        <v>159</v>
      </c>
      <c r="B67" s="108">
        <v>1.0</v>
      </c>
      <c r="C67" s="108">
        <v>1.0</v>
      </c>
      <c r="D67" s="108">
        <v>4.0</v>
      </c>
      <c r="E67" s="108">
        <v>4.0</v>
      </c>
      <c r="F67" s="108">
        <v>3.0</v>
      </c>
      <c r="G67" s="108">
        <v>1.0</v>
      </c>
      <c r="H67" s="108">
        <v>3.0</v>
      </c>
      <c r="I67" s="108">
        <v>3.0</v>
      </c>
      <c r="J67" s="108">
        <v>1.0</v>
      </c>
      <c r="K67" s="108">
        <v>3.0</v>
      </c>
      <c r="L67" s="108">
        <v>3.0</v>
      </c>
      <c r="N67" s="109"/>
      <c r="O67" s="114">
        <v>-0.29748</v>
      </c>
      <c r="P67" s="115">
        <v>-0.33466</v>
      </c>
      <c r="Q67" s="115">
        <v>-0.03059</v>
      </c>
      <c r="R67" s="115">
        <v>-0.48273</v>
      </c>
      <c r="S67" s="115">
        <v>0.065435</v>
      </c>
      <c r="T67" s="115">
        <v>-0.30183</v>
      </c>
      <c r="U67" s="115">
        <v>0.54151</v>
      </c>
      <c r="V67" s="115">
        <v>0.018986</v>
      </c>
      <c r="W67" s="115">
        <v>0.206955</v>
      </c>
      <c r="X67" s="115">
        <v>0.323026</v>
      </c>
      <c r="Y67" s="116">
        <v>-0.17143</v>
      </c>
      <c r="Z67" s="65"/>
      <c r="AA67" s="65"/>
    </row>
    <row r="68">
      <c r="A68" s="108" t="s">
        <v>160</v>
      </c>
      <c r="B68" s="108">
        <v>4.0</v>
      </c>
      <c r="C68" s="108">
        <v>4.0</v>
      </c>
      <c r="D68" s="108">
        <v>4.0</v>
      </c>
      <c r="E68" s="108">
        <v>1.0</v>
      </c>
      <c r="F68" s="108">
        <v>1.0</v>
      </c>
      <c r="G68" s="108">
        <v>4.0</v>
      </c>
      <c r="H68" s="108">
        <v>3.0</v>
      </c>
      <c r="I68" s="108">
        <v>3.0</v>
      </c>
      <c r="J68" s="108">
        <v>4.0</v>
      </c>
      <c r="K68" s="108">
        <v>3.0</v>
      </c>
      <c r="L68" s="108">
        <v>3.0</v>
      </c>
      <c r="N68" s="109"/>
      <c r="O68" s="114">
        <v>-0.41996</v>
      </c>
      <c r="P68" s="115">
        <v>-0.02613</v>
      </c>
      <c r="Q68" s="115">
        <v>0.309251</v>
      </c>
      <c r="R68" s="115">
        <v>0.040773</v>
      </c>
      <c r="S68" s="115">
        <v>0.05294</v>
      </c>
      <c r="T68" s="115">
        <v>-0.34043</v>
      </c>
      <c r="U68" s="115">
        <v>0.098533</v>
      </c>
      <c r="V68" s="115">
        <v>0.178362</v>
      </c>
      <c r="W68" s="115">
        <v>-0.18469</v>
      </c>
      <c r="X68" s="115">
        <v>-0.37947</v>
      </c>
      <c r="Y68" s="124">
        <v>0.622359</v>
      </c>
      <c r="Z68" s="65"/>
      <c r="AA68" s="65"/>
    </row>
    <row r="69">
      <c r="A69" s="108" t="s">
        <v>161</v>
      </c>
      <c r="B69" s="108">
        <v>1.0</v>
      </c>
      <c r="C69" s="108">
        <v>1.0</v>
      </c>
      <c r="D69" s="108">
        <v>1.0</v>
      </c>
      <c r="E69" s="108">
        <v>2.0</v>
      </c>
      <c r="F69" s="108">
        <v>3.0</v>
      </c>
      <c r="G69" s="108">
        <v>1.0</v>
      </c>
      <c r="H69" s="108">
        <v>2.0</v>
      </c>
      <c r="I69" s="108">
        <v>2.0</v>
      </c>
      <c r="J69" s="108">
        <v>3.0</v>
      </c>
      <c r="K69" s="108">
        <v>2.0</v>
      </c>
      <c r="L69" s="108">
        <v>2.0</v>
      </c>
      <c r="N69" s="109"/>
      <c r="O69" s="114">
        <v>-0.44907</v>
      </c>
      <c r="P69" s="115">
        <v>0.196062</v>
      </c>
      <c r="Q69" s="115">
        <v>0.02553</v>
      </c>
      <c r="R69" s="115">
        <v>0.04003</v>
      </c>
      <c r="S69" s="115">
        <v>-0.02569</v>
      </c>
      <c r="T69" s="115">
        <v>0.133219</v>
      </c>
      <c r="U69" s="115">
        <v>0.062929</v>
      </c>
      <c r="V69" s="115">
        <v>-0.07477</v>
      </c>
      <c r="W69" s="115">
        <v>0.354326</v>
      </c>
      <c r="X69" s="133">
        <v>-0.60535</v>
      </c>
      <c r="Y69" s="116">
        <v>-0.48753</v>
      </c>
      <c r="Z69" s="65"/>
      <c r="AA69" s="65"/>
    </row>
    <row r="70">
      <c r="A70" s="108" t="s">
        <v>162</v>
      </c>
      <c r="B70" s="108">
        <v>2.0</v>
      </c>
      <c r="C70" s="108">
        <v>3.0</v>
      </c>
      <c r="D70" s="108">
        <v>4.0</v>
      </c>
      <c r="E70" s="108">
        <v>4.0</v>
      </c>
      <c r="F70" s="108">
        <v>5.0</v>
      </c>
      <c r="G70" s="108">
        <v>3.0</v>
      </c>
      <c r="H70" s="108">
        <v>4.0</v>
      </c>
      <c r="I70" s="108">
        <v>4.0</v>
      </c>
      <c r="J70" s="108">
        <v>3.0</v>
      </c>
      <c r="K70" s="108">
        <v>4.0</v>
      </c>
      <c r="L70" s="108">
        <v>4.0</v>
      </c>
      <c r="N70" s="109"/>
      <c r="O70" s="114">
        <v>-0.23112</v>
      </c>
      <c r="P70" s="115">
        <v>0.251475</v>
      </c>
      <c r="Q70" s="115">
        <v>-0.31671</v>
      </c>
      <c r="R70" s="115">
        <v>-0.33554</v>
      </c>
      <c r="S70" s="123">
        <v>0.718275</v>
      </c>
      <c r="T70" s="115">
        <v>0.174286</v>
      </c>
      <c r="U70" s="115">
        <v>-0.28353</v>
      </c>
      <c r="V70" s="115">
        <v>0.163765</v>
      </c>
      <c r="W70" s="115">
        <v>-0.03292</v>
      </c>
      <c r="X70" s="115">
        <v>0.074349</v>
      </c>
      <c r="Y70" s="116">
        <v>0.101709</v>
      </c>
      <c r="Z70" s="65"/>
      <c r="AA70" s="65"/>
    </row>
    <row r="71">
      <c r="A71" s="108" t="s">
        <v>163</v>
      </c>
      <c r="B71" s="108">
        <v>3.0</v>
      </c>
      <c r="C71" s="108">
        <v>2.0</v>
      </c>
      <c r="D71" s="108">
        <v>3.0</v>
      </c>
      <c r="E71" s="108">
        <v>3.0</v>
      </c>
      <c r="F71" s="108">
        <v>3.0</v>
      </c>
      <c r="G71" s="108">
        <v>2.0</v>
      </c>
      <c r="H71" s="108">
        <v>2.0</v>
      </c>
      <c r="I71" s="108">
        <v>2.0</v>
      </c>
      <c r="J71" s="108">
        <v>3.0</v>
      </c>
      <c r="K71" s="108">
        <v>2.0</v>
      </c>
      <c r="L71" s="108">
        <v>2.0</v>
      </c>
      <c r="N71" s="109"/>
      <c r="O71" s="114">
        <v>0.05088</v>
      </c>
      <c r="P71" s="115">
        <v>-0.20598</v>
      </c>
      <c r="Q71" s="115">
        <v>-0.36246</v>
      </c>
      <c r="R71" s="123">
        <v>0.702288</v>
      </c>
      <c r="S71" s="115">
        <v>0.421124</v>
      </c>
      <c r="T71" s="115">
        <v>-0.25226</v>
      </c>
      <c r="U71" s="115">
        <v>0.259792</v>
      </c>
      <c r="V71" s="115">
        <v>0.057718</v>
      </c>
      <c r="W71" s="115">
        <v>0.128085</v>
      </c>
      <c r="X71" s="115">
        <v>-0.01657</v>
      </c>
      <c r="Y71" s="116">
        <v>-0.04379</v>
      </c>
      <c r="Z71" s="65"/>
      <c r="AA71" s="65"/>
    </row>
    <row r="72">
      <c r="A72" s="108" t="s">
        <v>164</v>
      </c>
      <c r="B72" s="108">
        <v>4.0</v>
      </c>
      <c r="C72" s="108">
        <v>4.0</v>
      </c>
      <c r="D72" s="108">
        <v>3.0</v>
      </c>
      <c r="E72" s="108">
        <v>3.0</v>
      </c>
      <c r="F72" s="108">
        <v>3.0</v>
      </c>
      <c r="G72" s="108">
        <v>3.0</v>
      </c>
      <c r="H72" s="108">
        <v>3.0</v>
      </c>
      <c r="I72" s="108">
        <v>4.0</v>
      </c>
      <c r="J72" s="108">
        <v>3.0</v>
      </c>
      <c r="K72" s="108">
        <v>5.0</v>
      </c>
      <c r="L72" s="108">
        <v>4.0</v>
      </c>
      <c r="N72" s="109"/>
      <c r="O72" s="114">
        <v>-0.13771</v>
      </c>
      <c r="P72" s="115">
        <v>0.37558</v>
      </c>
      <c r="Q72" s="115">
        <v>-0.42924</v>
      </c>
      <c r="R72" s="115">
        <v>-0.00684</v>
      </c>
      <c r="S72" s="115">
        <v>-0.38248</v>
      </c>
      <c r="T72" s="115">
        <v>-0.59455</v>
      </c>
      <c r="U72" s="115">
        <v>-0.30941</v>
      </c>
      <c r="V72" s="115">
        <v>0.134957</v>
      </c>
      <c r="W72" s="115">
        <v>0.147621</v>
      </c>
      <c r="X72" s="115">
        <v>0.141069</v>
      </c>
      <c r="Y72" s="116">
        <v>-0.01597</v>
      </c>
      <c r="Z72" s="65"/>
      <c r="AA72" s="65"/>
    </row>
    <row r="73">
      <c r="A73" s="108" t="s">
        <v>165</v>
      </c>
      <c r="B73" s="108">
        <v>2.0</v>
      </c>
      <c r="C73" s="108">
        <v>2.0</v>
      </c>
      <c r="D73" s="108">
        <v>3.0</v>
      </c>
      <c r="E73" s="108">
        <v>4.0</v>
      </c>
      <c r="F73" s="108">
        <v>4.0</v>
      </c>
      <c r="G73" s="108">
        <v>2.0</v>
      </c>
      <c r="H73" s="108">
        <v>3.0</v>
      </c>
      <c r="I73" s="108">
        <v>3.0</v>
      </c>
      <c r="J73" s="108">
        <v>5.0</v>
      </c>
      <c r="K73" s="108">
        <v>3.0</v>
      </c>
      <c r="L73" s="108">
        <v>3.0</v>
      </c>
      <c r="N73" s="109"/>
      <c r="O73" s="114">
        <v>-0.23007</v>
      </c>
      <c r="P73" s="115">
        <v>0.400355</v>
      </c>
      <c r="Q73" s="115">
        <v>-0.3564</v>
      </c>
      <c r="R73" s="115">
        <v>0.096043</v>
      </c>
      <c r="S73" s="115">
        <v>-0.22067</v>
      </c>
      <c r="T73" s="115">
        <v>0.322952</v>
      </c>
      <c r="U73" s="115">
        <v>0.532103</v>
      </c>
      <c r="V73" s="115">
        <v>-0.08335</v>
      </c>
      <c r="W73" s="115">
        <v>-0.43185</v>
      </c>
      <c r="X73" s="115">
        <v>0.102816</v>
      </c>
      <c r="Y73" s="116">
        <v>0.101962</v>
      </c>
      <c r="Z73" s="65"/>
      <c r="AA73" s="65"/>
    </row>
    <row r="74">
      <c r="A74" s="108" t="s">
        <v>166</v>
      </c>
      <c r="B74" s="108">
        <v>4.0</v>
      </c>
      <c r="C74" s="108">
        <v>4.0</v>
      </c>
      <c r="D74" s="108">
        <v>5.0</v>
      </c>
      <c r="E74" s="108">
        <v>4.0</v>
      </c>
      <c r="F74" s="108">
        <v>5.0</v>
      </c>
      <c r="G74" s="108">
        <v>3.0</v>
      </c>
      <c r="H74" s="108">
        <v>4.0</v>
      </c>
      <c r="I74" s="108">
        <v>4.0</v>
      </c>
      <c r="J74" s="108">
        <v>5.0</v>
      </c>
      <c r="K74" s="108">
        <v>4.0</v>
      </c>
      <c r="L74" s="108">
        <v>4.0</v>
      </c>
      <c r="N74" s="109"/>
      <c r="O74" s="117">
        <v>-0.40255</v>
      </c>
      <c r="P74" s="118">
        <v>-0.10095</v>
      </c>
      <c r="Q74" s="118">
        <v>0.293997</v>
      </c>
      <c r="R74" s="118">
        <v>0.254348</v>
      </c>
      <c r="S74" s="118">
        <v>0.012838</v>
      </c>
      <c r="T74" s="118">
        <v>-0.03438</v>
      </c>
      <c r="U74" s="118">
        <v>-0.22692</v>
      </c>
      <c r="V74" s="118">
        <v>0.308475</v>
      </c>
      <c r="W74" s="118">
        <v>-0.46844</v>
      </c>
      <c r="X74" s="118">
        <v>0.318341</v>
      </c>
      <c r="Y74" s="119">
        <v>-0.45592</v>
      </c>
      <c r="Z74" s="65"/>
      <c r="AA74" s="65"/>
    </row>
    <row r="75">
      <c r="A75" s="108" t="s">
        <v>167</v>
      </c>
      <c r="B75" s="108">
        <v>2.0</v>
      </c>
      <c r="C75" s="108">
        <v>2.0</v>
      </c>
      <c r="D75" s="108">
        <v>5.0</v>
      </c>
      <c r="E75" s="108">
        <v>5.0</v>
      </c>
      <c r="F75" s="108">
        <v>5.0</v>
      </c>
      <c r="G75" s="108">
        <v>2.0</v>
      </c>
      <c r="H75" s="108">
        <v>4.0</v>
      </c>
      <c r="I75" s="108">
        <v>4.0</v>
      </c>
      <c r="J75" s="108">
        <v>4.0</v>
      </c>
      <c r="K75" s="108">
        <v>4.0</v>
      </c>
      <c r="L75" s="108">
        <v>4.0</v>
      </c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65"/>
      <c r="AA75" s="65"/>
    </row>
    <row r="76">
      <c r="A76" s="108" t="s">
        <v>168</v>
      </c>
      <c r="B76" s="108">
        <v>4.0</v>
      </c>
      <c r="C76" s="108">
        <v>4.0</v>
      </c>
      <c r="D76" s="108">
        <v>2.0</v>
      </c>
      <c r="E76" s="108">
        <v>2.0</v>
      </c>
      <c r="F76" s="108">
        <v>2.0</v>
      </c>
      <c r="G76" s="108">
        <v>4.0</v>
      </c>
      <c r="H76" s="108">
        <v>2.0</v>
      </c>
      <c r="I76" s="108">
        <v>4.0</v>
      </c>
      <c r="J76" s="108">
        <v>4.0</v>
      </c>
      <c r="K76" s="108">
        <v>2.0</v>
      </c>
      <c r="L76" s="108">
        <v>5.0</v>
      </c>
      <c r="N76" s="110" t="s">
        <v>41</v>
      </c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65"/>
      <c r="AA76" s="65"/>
    </row>
    <row r="77">
      <c r="A77" s="108" t="s">
        <v>169</v>
      </c>
      <c r="B77" s="108">
        <v>3.0</v>
      </c>
      <c r="C77" s="108">
        <v>4.0</v>
      </c>
      <c r="D77" s="108">
        <v>4.0</v>
      </c>
      <c r="E77" s="108">
        <v>4.0</v>
      </c>
      <c r="F77" s="108">
        <v>4.0</v>
      </c>
      <c r="G77" s="108">
        <v>3.0</v>
      </c>
      <c r="H77" s="108">
        <v>4.0</v>
      </c>
      <c r="I77" s="108">
        <v>4.0</v>
      </c>
      <c r="J77" s="108">
        <v>3.0</v>
      </c>
      <c r="K77" s="108">
        <v>4.0</v>
      </c>
      <c r="L77" s="108">
        <v>5.0</v>
      </c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65"/>
      <c r="AA77" s="65"/>
    </row>
    <row r="78">
      <c r="A78" s="108" t="s">
        <v>170</v>
      </c>
      <c r="B78" s="108">
        <v>3.0</v>
      </c>
      <c r="C78" s="108">
        <v>3.0</v>
      </c>
      <c r="D78" s="108">
        <v>5.0</v>
      </c>
      <c r="E78" s="108">
        <v>4.0</v>
      </c>
      <c r="F78" s="108">
        <v>5.0</v>
      </c>
      <c r="G78" s="108">
        <v>2.0</v>
      </c>
      <c r="H78" s="108">
        <v>3.0</v>
      </c>
      <c r="I78" s="108">
        <v>3.0</v>
      </c>
      <c r="J78" s="108">
        <v>5.0</v>
      </c>
      <c r="K78" s="108">
        <v>3.0</v>
      </c>
      <c r="L78" s="108">
        <v>3.0</v>
      </c>
      <c r="N78" s="109"/>
      <c r="O78" s="123">
        <v>1.0</v>
      </c>
      <c r="P78" s="123">
        <v>2.0</v>
      </c>
      <c r="Q78" s="123">
        <v>3.0</v>
      </c>
      <c r="R78" s="123">
        <v>4.0</v>
      </c>
      <c r="S78" s="123">
        <v>5.0</v>
      </c>
      <c r="T78" s="123">
        <v>6.0</v>
      </c>
      <c r="U78" s="123">
        <v>7.0</v>
      </c>
      <c r="V78" s="123">
        <v>8.0</v>
      </c>
      <c r="W78" s="123">
        <v>9.0</v>
      </c>
      <c r="X78" s="123">
        <v>10.0</v>
      </c>
      <c r="Y78" s="123">
        <v>11.0</v>
      </c>
      <c r="Z78" s="65"/>
      <c r="AA78" s="128" t="s">
        <v>42</v>
      </c>
    </row>
    <row r="79">
      <c r="A79" s="108" t="s">
        <v>171</v>
      </c>
      <c r="B79" s="108">
        <v>1.0</v>
      </c>
      <c r="C79" s="108">
        <v>1.0</v>
      </c>
      <c r="D79" s="108">
        <v>3.0</v>
      </c>
      <c r="E79" s="108">
        <v>4.0</v>
      </c>
      <c r="F79" s="108">
        <v>4.0</v>
      </c>
      <c r="G79" s="108">
        <v>1.0</v>
      </c>
      <c r="H79" s="108">
        <v>2.0</v>
      </c>
      <c r="I79" s="108">
        <v>5.0</v>
      </c>
      <c r="J79" s="108">
        <v>5.0</v>
      </c>
      <c r="K79" s="108">
        <v>2.0</v>
      </c>
      <c r="L79" s="108">
        <v>2.0</v>
      </c>
      <c r="N79" s="110" t="s">
        <v>93</v>
      </c>
      <c r="O79" s="111">
        <v>-0.37609</v>
      </c>
      <c r="P79" s="129">
        <v>-0.68318</v>
      </c>
      <c r="Q79" s="112">
        <v>-0.46975</v>
      </c>
      <c r="R79" s="112">
        <v>-0.10102</v>
      </c>
      <c r="S79" s="112">
        <v>-0.03729</v>
      </c>
      <c r="T79" s="112">
        <v>-0.06163</v>
      </c>
      <c r="U79" s="112">
        <v>-0.15577</v>
      </c>
      <c r="V79" s="112">
        <v>-0.30638</v>
      </c>
      <c r="W79" s="112">
        <v>-0.17513</v>
      </c>
      <c r="X79" s="112">
        <v>-0.08283</v>
      </c>
      <c r="Y79" s="113">
        <v>-0.00998</v>
      </c>
      <c r="Z79" s="65"/>
      <c r="AA79" s="130">
        <v>1.0</v>
      </c>
    </row>
    <row r="80">
      <c r="A80" s="108" t="s">
        <v>172</v>
      </c>
      <c r="B80" s="108">
        <v>2.0</v>
      </c>
      <c r="C80" s="108">
        <v>2.0</v>
      </c>
      <c r="D80" s="108">
        <v>4.0</v>
      </c>
      <c r="E80" s="108">
        <v>4.0</v>
      </c>
      <c r="F80" s="108">
        <v>5.0</v>
      </c>
      <c r="G80" s="108">
        <v>2.0</v>
      </c>
      <c r="H80" s="108">
        <v>2.0</v>
      </c>
      <c r="I80" s="108">
        <v>2.0</v>
      </c>
      <c r="J80" s="108">
        <v>4.0</v>
      </c>
      <c r="K80" s="108">
        <v>2.0</v>
      </c>
      <c r="L80" s="108">
        <v>2.0</v>
      </c>
      <c r="N80" s="110" t="s">
        <v>80</v>
      </c>
      <c r="O80" s="114">
        <v>-0.29045</v>
      </c>
      <c r="P80" s="133">
        <v>-0.68585</v>
      </c>
      <c r="Q80" s="115">
        <v>-0.45887</v>
      </c>
      <c r="R80" s="115">
        <v>0.001637</v>
      </c>
      <c r="S80" s="115">
        <v>-0.24692</v>
      </c>
      <c r="T80" s="115">
        <v>0.277101</v>
      </c>
      <c r="U80" s="115">
        <v>-0.06576</v>
      </c>
      <c r="V80" s="115">
        <v>0.285494</v>
      </c>
      <c r="W80" s="115">
        <v>0.08163</v>
      </c>
      <c r="X80" s="115">
        <v>-0.02913</v>
      </c>
      <c r="Y80" s="116">
        <v>0.059838</v>
      </c>
      <c r="Z80" s="65"/>
      <c r="AA80" s="132">
        <v>1.0</v>
      </c>
    </row>
    <row r="81">
      <c r="A81" s="108" t="s">
        <v>173</v>
      </c>
      <c r="B81" s="108">
        <v>3.0</v>
      </c>
      <c r="C81" s="108">
        <v>4.0</v>
      </c>
      <c r="D81" s="108">
        <v>5.0</v>
      </c>
      <c r="E81" s="108">
        <v>5.0</v>
      </c>
      <c r="F81" s="108">
        <v>5.0</v>
      </c>
      <c r="G81" s="108">
        <v>3.0</v>
      </c>
      <c r="H81" s="108">
        <v>5.0</v>
      </c>
      <c r="I81" s="108">
        <v>5.0</v>
      </c>
      <c r="J81" s="108">
        <v>3.0</v>
      </c>
      <c r="K81" s="108">
        <v>4.0</v>
      </c>
      <c r="L81" s="108">
        <v>4.0</v>
      </c>
      <c r="N81" s="110" t="s">
        <v>94</v>
      </c>
      <c r="O81" s="131">
        <v>-0.84723</v>
      </c>
      <c r="P81" s="115">
        <v>0.027057</v>
      </c>
      <c r="Q81" s="115">
        <v>0.198989</v>
      </c>
      <c r="R81" s="115">
        <v>0.275339</v>
      </c>
      <c r="S81" s="115">
        <v>-0.03807</v>
      </c>
      <c r="T81" s="115">
        <v>0.158717</v>
      </c>
      <c r="U81" s="115">
        <v>-0.09509</v>
      </c>
      <c r="V81" s="115">
        <v>-0.21014</v>
      </c>
      <c r="W81" s="115">
        <v>0.201045</v>
      </c>
      <c r="X81" s="115">
        <v>0.188184</v>
      </c>
      <c r="Y81" s="116">
        <v>0.101949</v>
      </c>
      <c r="Z81" s="65"/>
      <c r="AA81" s="132">
        <v>1.0</v>
      </c>
    </row>
    <row r="82">
      <c r="A82" s="108" t="s">
        <v>174</v>
      </c>
      <c r="B82" s="108">
        <v>2.0</v>
      </c>
      <c r="C82" s="108">
        <v>4.0</v>
      </c>
      <c r="D82" s="108">
        <v>3.0</v>
      </c>
      <c r="E82" s="108">
        <v>3.0</v>
      </c>
      <c r="F82" s="108">
        <v>3.0</v>
      </c>
      <c r="G82" s="108">
        <v>2.0</v>
      </c>
      <c r="H82" s="108">
        <v>3.0</v>
      </c>
      <c r="I82" s="108">
        <v>5.0</v>
      </c>
      <c r="J82" s="108">
        <v>2.0</v>
      </c>
      <c r="K82" s="108">
        <v>5.0</v>
      </c>
      <c r="L82" s="108">
        <v>4.0</v>
      </c>
      <c r="N82" s="110" t="s">
        <v>81</v>
      </c>
      <c r="O82" s="114">
        <v>-0.58558</v>
      </c>
      <c r="P82" s="115">
        <v>-0.49328</v>
      </c>
      <c r="Q82" s="115">
        <v>-0.04014</v>
      </c>
      <c r="R82" s="115">
        <v>-0.48865</v>
      </c>
      <c r="S82" s="115">
        <v>0.051294</v>
      </c>
      <c r="T82" s="115">
        <v>-0.20821</v>
      </c>
      <c r="U82" s="115">
        <v>0.309947</v>
      </c>
      <c r="V82" s="115">
        <v>0.009873</v>
      </c>
      <c r="W82" s="115">
        <v>0.097226</v>
      </c>
      <c r="X82" s="115">
        <v>0.134811</v>
      </c>
      <c r="Y82" s="116">
        <v>-0.06002</v>
      </c>
      <c r="Z82" s="65"/>
      <c r="AA82" s="132">
        <v>1.0</v>
      </c>
    </row>
    <row r="83">
      <c r="A83" s="108" t="s">
        <v>175</v>
      </c>
      <c r="B83" s="108">
        <v>5.0</v>
      </c>
      <c r="C83" s="108">
        <v>3.0</v>
      </c>
      <c r="D83" s="108">
        <v>1.0</v>
      </c>
      <c r="E83" s="108">
        <v>4.0</v>
      </c>
      <c r="F83" s="108">
        <v>3.0</v>
      </c>
      <c r="G83" s="108">
        <v>3.0</v>
      </c>
      <c r="H83" s="108">
        <v>3.0</v>
      </c>
      <c r="I83" s="108">
        <v>3.0</v>
      </c>
      <c r="J83" s="108">
        <v>5.0</v>
      </c>
      <c r="K83" s="108">
        <v>3.0</v>
      </c>
      <c r="L83" s="108">
        <v>3.0</v>
      </c>
      <c r="N83" s="110" t="s">
        <v>87</v>
      </c>
      <c r="O83" s="131">
        <v>-0.82667</v>
      </c>
      <c r="P83" s="115">
        <v>-0.03852</v>
      </c>
      <c r="Q83" s="115">
        <v>0.405828</v>
      </c>
      <c r="R83" s="115">
        <v>0.041273</v>
      </c>
      <c r="S83" s="115">
        <v>0.041498</v>
      </c>
      <c r="T83" s="115">
        <v>-0.23484</v>
      </c>
      <c r="U83" s="115">
        <v>0.056398</v>
      </c>
      <c r="V83" s="115">
        <v>0.092754</v>
      </c>
      <c r="W83" s="115">
        <v>-0.08677</v>
      </c>
      <c r="X83" s="115">
        <v>-0.15837</v>
      </c>
      <c r="Y83" s="116">
        <v>0.217893</v>
      </c>
      <c r="Z83" s="65"/>
      <c r="AA83" s="132">
        <v>1.0</v>
      </c>
    </row>
    <row r="84">
      <c r="A84" s="108" t="s">
        <v>176</v>
      </c>
      <c r="B84" s="108">
        <v>3.0</v>
      </c>
      <c r="C84" s="108">
        <v>3.0</v>
      </c>
      <c r="D84" s="108">
        <v>3.0</v>
      </c>
      <c r="E84" s="108">
        <v>4.0</v>
      </c>
      <c r="F84" s="108">
        <v>3.0</v>
      </c>
      <c r="G84" s="108">
        <v>3.0</v>
      </c>
      <c r="H84" s="108">
        <v>2.0</v>
      </c>
      <c r="I84" s="108">
        <v>2.0</v>
      </c>
      <c r="J84" s="108">
        <v>4.0</v>
      </c>
      <c r="K84" s="108">
        <v>2.0</v>
      </c>
      <c r="L84" s="108">
        <v>2.0</v>
      </c>
      <c r="N84" s="110" t="s">
        <v>86</v>
      </c>
      <c r="O84" s="131">
        <v>-0.88396</v>
      </c>
      <c r="P84" s="115">
        <v>0.288992</v>
      </c>
      <c r="Q84" s="115">
        <v>0.033503</v>
      </c>
      <c r="R84" s="115">
        <v>0.040521</v>
      </c>
      <c r="S84" s="115">
        <v>-0.02014</v>
      </c>
      <c r="T84" s="115">
        <v>0.091898</v>
      </c>
      <c r="U84" s="115">
        <v>0.036019</v>
      </c>
      <c r="V84" s="115">
        <v>-0.03888</v>
      </c>
      <c r="W84" s="115">
        <v>0.166459</v>
      </c>
      <c r="X84" s="115">
        <v>-0.25264</v>
      </c>
      <c r="Y84" s="116">
        <v>-0.17069</v>
      </c>
      <c r="Z84" s="65"/>
      <c r="AA84" s="132">
        <v>1.0</v>
      </c>
    </row>
    <row r="85">
      <c r="A85" s="108" t="s">
        <v>177</v>
      </c>
      <c r="B85" s="108">
        <v>2.0</v>
      </c>
      <c r="C85" s="108">
        <v>2.0</v>
      </c>
      <c r="D85" s="108">
        <v>2.0</v>
      </c>
      <c r="E85" s="108">
        <v>3.0</v>
      </c>
      <c r="F85" s="108">
        <v>3.0</v>
      </c>
      <c r="G85" s="108">
        <v>3.0</v>
      </c>
      <c r="H85" s="108">
        <v>1.0</v>
      </c>
      <c r="I85" s="108">
        <v>1.0</v>
      </c>
      <c r="J85" s="108">
        <v>5.0</v>
      </c>
      <c r="K85" s="108">
        <v>1.0</v>
      </c>
      <c r="L85" s="108">
        <v>1.0</v>
      </c>
      <c r="N85" s="110" t="s">
        <v>82</v>
      </c>
      <c r="O85" s="114">
        <v>-0.45495</v>
      </c>
      <c r="P85" s="115">
        <v>0.37067</v>
      </c>
      <c r="Q85" s="115">
        <v>-0.41561</v>
      </c>
      <c r="R85" s="115">
        <v>-0.33965</v>
      </c>
      <c r="S85" s="115">
        <v>0.563045</v>
      </c>
      <c r="T85" s="115">
        <v>0.120228</v>
      </c>
      <c r="U85" s="115">
        <v>-0.16228</v>
      </c>
      <c r="V85" s="115">
        <v>0.085163</v>
      </c>
      <c r="W85" s="115">
        <v>-0.01547</v>
      </c>
      <c r="X85" s="115">
        <v>0.031029</v>
      </c>
      <c r="Y85" s="116">
        <v>0.035609</v>
      </c>
      <c r="Z85" s="65"/>
      <c r="AA85" s="132">
        <v>1.0</v>
      </c>
    </row>
    <row r="86">
      <c r="A86" s="108" t="s">
        <v>178</v>
      </c>
      <c r="B86" s="108">
        <v>0.0</v>
      </c>
      <c r="C86" s="108">
        <v>5.0</v>
      </c>
      <c r="D86" s="108">
        <v>1.0</v>
      </c>
      <c r="E86" s="108">
        <v>1.0</v>
      </c>
      <c r="F86" s="108">
        <v>1.0</v>
      </c>
      <c r="G86" s="108">
        <v>1.0</v>
      </c>
      <c r="H86" s="108">
        <v>1.0</v>
      </c>
      <c r="I86" s="108">
        <v>4.0</v>
      </c>
      <c r="J86" s="108">
        <v>0.0</v>
      </c>
      <c r="K86" s="108">
        <v>2.0</v>
      </c>
      <c r="L86" s="108">
        <v>3.0</v>
      </c>
      <c r="N86" s="110" t="s">
        <v>95</v>
      </c>
      <c r="O86" s="114">
        <v>0.100154</v>
      </c>
      <c r="P86" s="115">
        <v>-0.30361</v>
      </c>
      <c r="Q86" s="115">
        <v>-0.47565</v>
      </c>
      <c r="R86" s="123">
        <v>0.710899</v>
      </c>
      <c r="S86" s="115">
        <v>0.330113</v>
      </c>
      <c r="T86" s="115">
        <v>-0.17402</v>
      </c>
      <c r="U86" s="115">
        <v>0.148698</v>
      </c>
      <c r="V86" s="115">
        <v>0.030015</v>
      </c>
      <c r="W86" s="115">
        <v>0.060173</v>
      </c>
      <c r="X86" s="115">
        <v>-0.00692</v>
      </c>
      <c r="Y86" s="116">
        <v>-0.01533</v>
      </c>
      <c r="Z86" s="65"/>
      <c r="AA86" s="132">
        <v>1.0</v>
      </c>
    </row>
    <row r="87">
      <c r="A87" s="108" t="s">
        <v>179</v>
      </c>
      <c r="B87" s="108">
        <v>1.0</v>
      </c>
      <c r="C87" s="108">
        <v>1.0</v>
      </c>
      <c r="D87" s="108">
        <v>4.0</v>
      </c>
      <c r="E87" s="108">
        <v>5.0</v>
      </c>
      <c r="F87" s="108">
        <v>5.0</v>
      </c>
      <c r="G87" s="108">
        <v>1.0</v>
      </c>
      <c r="H87" s="108">
        <v>1.0</v>
      </c>
      <c r="I87" s="108">
        <v>1.0</v>
      </c>
      <c r="J87" s="108">
        <v>3.0</v>
      </c>
      <c r="K87" s="108">
        <v>1.0</v>
      </c>
      <c r="L87" s="108">
        <v>1.0</v>
      </c>
      <c r="N87" s="110" t="s">
        <v>83</v>
      </c>
      <c r="O87" s="114">
        <v>-0.27108</v>
      </c>
      <c r="P87" s="115">
        <v>0.553598</v>
      </c>
      <c r="Q87" s="115">
        <v>-0.56329</v>
      </c>
      <c r="R87" s="115">
        <v>-0.00692</v>
      </c>
      <c r="S87" s="115">
        <v>-0.29982</v>
      </c>
      <c r="T87" s="115">
        <v>-0.41014</v>
      </c>
      <c r="U87" s="115">
        <v>-0.1771</v>
      </c>
      <c r="V87" s="115">
        <v>0.070182</v>
      </c>
      <c r="W87" s="115">
        <v>0.069351</v>
      </c>
      <c r="X87" s="115">
        <v>0.058874</v>
      </c>
      <c r="Y87" s="116">
        <v>-0.00559</v>
      </c>
      <c r="Z87" s="65"/>
      <c r="AA87" s="132">
        <v>1.0</v>
      </c>
    </row>
    <row r="88">
      <c r="A88" s="108" t="s">
        <v>180</v>
      </c>
      <c r="B88" s="108">
        <v>3.0</v>
      </c>
      <c r="C88" s="108">
        <v>5.0</v>
      </c>
      <c r="D88" s="108">
        <v>5.0</v>
      </c>
      <c r="E88" s="108">
        <v>3.0</v>
      </c>
      <c r="F88" s="108">
        <v>5.0</v>
      </c>
      <c r="G88" s="108">
        <v>3.0</v>
      </c>
      <c r="H88" s="108">
        <v>5.0</v>
      </c>
      <c r="I88" s="108">
        <v>4.0</v>
      </c>
      <c r="J88" s="108">
        <v>3.0</v>
      </c>
      <c r="K88" s="108">
        <v>4.0</v>
      </c>
      <c r="L88" s="108">
        <v>5.0</v>
      </c>
      <c r="N88" s="110" t="s">
        <v>84</v>
      </c>
      <c r="O88" s="114">
        <v>-0.45288</v>
      </c>
      <c r="P88" s="115">
        <v>0.590116</v>
      </c>
      <c r="Q88" s="115">
        <v>-0.4677</v>
      </c>
      <c r="R88" s="115">
        <v>0.09722</v>
      </c>
      <c r="S88" s="115">
        <v>-0.17298</v>
      </c>
      <c r="T88" s="115">
        <v>0.222782</v>
      </c>
      <c r="U88" s="115">
        <v>0.304563</v>
      </c>
      <c r="V88" s="115">
        <v>-0.04334</v>
      </c>
      <c r="W88" s="115">
        <v>-0.20288</v>
      </c>
      <c r="X88" s="115">
        <v>0.042909</v>
      </c>
      <c r="Y88" s="116">
        <v>0.035698</v>
      </c>
      <c r="Z88" s="65"/>
      <c r="AA88" s="132">
        <v>1.0</v>
      </c>
    </row>
    <row r="89">
      <c r="A89" s="108" t="s">
        <v>181</v>
      </c>
      <c r="B89" s="108">
        <v>2.0</v>
      </c>
      <c r="C89" s="108">
        <v>2.0</v>
      </c>
      <c r="D89" s="108">
        <v>5.0</v>
      </c>
      <c r="E89" s="108">
        <v>5.0</v>
      </c>
      <c r="F89" s="108">
        <v>4.0</v>
      </c>
      <c r="G89" s="108">
        <v>2.0</v>
      </c>
      <c r="H89" s="108">
        <v>2.0</v>
      </c>
      <c r="I89" s="108">
        <v>2.0</v>
      </c>
      <c r="J89" s="108">
        <v>3.0</v>
      </c>
      <c r="K89" s="108">
        <v>2.0</v>
      </c>
      <c r="L89" s="108">
        <v>2.0</v>
      </c>
      <c r="N89" s="110" t="s">
        <v>90</v>
      </c>
      <c r="O89" s="142">
        <v>-0.7924</v>
      </c>
      <c r="P89" s="118">
        <v>-0.1488</v>
      </c>
      <c r="Q89" s="118">
        <v>0.38581</v>
      </c>
      <c r="R89" s="118">
        <v>0.257467</v>
      </c>
      <c r="S89" s="118">
        <v>0.010063</v>
      </c>
      <c r="T89" s="118">
        <v>-0.02372</v>
      </c>
      <c r="U89" s="118">
        <v>-0.12988</v>
      </c>
      <c r="V89" s="118">
        <v>0.160418</v>
      </c>
      <c r="W89" s="118">
        <v>-0.22007</v>
      </c>
      <c r="X89" s="118">
        <v>0.132856</v>
      </c>
      <c r="Y89" s="119">
        <v>-0.15962</v>
      </c>
      <c r="Z89" s="65"/>
      <c r="AA89" s="136">
        <v>1.0</v>
      </c>
    </row>
    <row r="90">
      <c r="A90" s="108" t="s">
        <v>182</v>
      </c>
      <c r="B90" s="108">
        <v>4.0</v>
      </c>
      <c r="C90" s="108">
        <v>4.0</v>
      </c>
      <c r="D90" s="108">
        <v>4.0</v>
      </c>
      <c r="E90" s="108">
        <v>5.0</v>
      </c>
      <c r="F90" s="108">
        <v>5.0</v>
      </c>
      <c r="G90" s="108">
        <v>4.0</v>
      </c>
      <c r="H90" s="108">
        <v>5.0</v>
      </c>
      <c r="I90" s="108">
        <v>5.0</v>
      </c>
      <c r="J90" s="108">
        <v>3.0</v>
      </c>
      <c r="K90" s="108">
        <v>5.0</v>
      </c>
      <c r="L90" s="108">
        <v>5.0</v>
      </c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65"/>
      <c r="AA90" s="65"/>
    </row>
    <row r="91">
      <c r="A91" s="108" t="s">
        <v>183</v>
      </c>
      <c r="B91" s="108">
        <v>5.0</v>
      </c>
      <c r="C91" s="108">
        <v>3.0</v>
      </c>
      <c r="D91" s="108">
        <v>1.0</v>
      </c>
      <c r="E91" s="108">
        <v>3.0</v>
      </c>
      <c r="F91" s="108">
        <v>4.0</v>
      </c>
      <c r="G91" s="108">
        <v>3.0</v>
      </c>
      <c r="H91" s="108">
        <v>3.0</v>
      </c>
      <c r="I91" s="108">
        <v>3.0</v>
      </c>
      <c r="J91" s="108">
        <v>1.0</v>
      </c>
      <c r="K91" s="108">
        <v>3.0</v>
      </c>
      <c r="L91" s="108">
        <v>3.0</v>
      </c>
      <c r="N91" s="110" t="s">
        <v>43</v>
      </c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65"/>
      <c r="AA91" s="65"/>
    </row>
    <row r="92">
      <c r="A92" s="108" t="s">
        <v>184</v>
      </c>
      <c r="B92" s="108">
        <v>2.0</v>
      </c>
      <c r="C92" s="108">
        <v>4.0</v>
      </c>
      <c r="D92" s="108">
        <v>4.0</v>
      </c>
      <c r="E92" s="108">
        <v>1.0</v>
      </c>
      <c r="F92" s="108">
        <v>3.0</v>
      </c>
      <c r="G92" s="108">
        <v>2.0</v>
      </c>
      <c r="H92" s="108">
        <v>2.0</v>
      </c>
      <c r="I92" s="108">
        <v>4.0</v>
      </c>
      <c r="J92" s="108">
        <v>4.0</v>
      </c>
      <c r="K92" s="108">
        <v>2.0</v>
      </c>
      <c r="L92" s="108">
        <v>4.0</v>
      </c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65"/>
      <c r="AA92" s="65"/>
    </row>
    <row r="93">
      <c r="A93" s="108" t="s">
        <v>185</v>
      </c>
      <c r="B93" s="108">
        <v>1.0</v>
      </c>
      <c r="C93" s="108">
        <v>1.0</v>
      </c>
      <c r="D93" s="108">
        <v>2.0</v>
      </c>
      <c r="E93" s="108">
        <v>2.0</v>
      </c>
      <c r="F93" s="108">
        <v>3.0</v>
      </c>
      <c r="G93" s="108">
        <v>1.0</v>
      </c>
      <c r="H93" s="108">
        <v>1.0</v>
      </c>
      <c r="I93" s="108">
        <v>2.0</v>
      </c>
      <c r="J93" s="108">
        <v>4.0</v>
      </c>
      <c r="K93" s="108">
        <v>1.0</v>
      </c>
      <c r="L93" s="108">
        <v>1.0</v>
      </c>
      <c r="N93" s="109"/>
      <c r="O93" s="143" t="s">
        <v>44</v>
      </c>
      <c r="P93" s="143" t="s">
        <v>45</v>
      </c>
      <c r="Q93" s="143" t="s">
        <v>46</v>
      </c>
      <c r="R93" s="109"/>
      <c r="S93" s="109"/>
      <c r="T93" s="109"/>
      <c r="U93" s="109"/>
      <c r="V93" s="109"/>
      <c r="W93" s="109"/>
      <c r="X93" s="109"/>
      <c r="Y93" s="109"/>
      <c r="Z93" s="65"/>
      <c r="AA93" s="65"/>
    </row>
    <row r="94">
      <c r="A94" s="108" t="s">
        <v>186</v>
      </c>
      <c r="B94" s="108">
        <v>4.0</v>
      </c>
      <c r="C94" s="108">
        <v>1.0</v>
      </c>
      <c r="D94" s="108">
        <v>1.0</v>
      </c>
      <c r="E94" s="108">
        <v>4.0</v>
      </c>
      <c r="F94" s="108">
        <v>4.0</v>
      </c>
      <c r="G94" s="108">
        <v>2.0</v>
      </c>
      <c r="H94" s="108">
        <v>2.0</v>
      </c>
      <c r="I94" s="108">
        <v>2.0</v>
      </c>
      <c r="J94" s="108">
        <v>4.0</v>
      </c>
      <c r="K94" s="108">
        <v>2.0</v>
      </c>
      <c r="L94" s="108">
        <v>2.0</v>
      </c>
      <c r="N94" s="109"/>
      <c r="O94" s="120">
        <v>3.874756</v>
      </c>
      <c r="P94" s="144">
        <v>0.3523</v>
      </c>
      <c r="Q94" s="145">
        <v>0.3523</v>
      </c>
      <c r="R94" s="109"/>
      <c r="S94" s="109"/>
      <c r="T94" s="109"/>
      <c r="U94" s="109"/>
      <c r="V94" s="109"/>
      <c r="W94" s="109"/>
      <c r="X94" s="109"/>
      <c r="Y94" s="109"/>
      <c r="Z94" s="65"/>
      <c r="AA94" s="65"/>
    </row>
    <row r="95">
      <c r="A95" s="108" t="s">
        <v>187</v>
      </c>
      <c r="B95" s="108">
        <v>4.0</v>
      </c>
      <c r="C95" s="108">
        <v>4.0</v>
      </c>
      <c r="D95" s="108">
        <v>4.0</v>
      </c>
      <c r="E95" s="108">
        <v>4.0</v>
      </c>
      <c r="F95" s="108">
        <v>3.0</v>
      </c>
      <c r="G95" s="108">
        <v>4.0</v>
      </c>
      <c r="H95" s="108">
        <v>3.0</v>
      </c>
      <c r="I95" s="108">
        <v>3.0</v>
      </c>
      <c r="J95" s="108">
        <v>3.0</v>
      </c>
      <c r="K95" s="108">
        <v>3.0</v>
      </c>
      <c r="L95" s="108">
        <v>3.0</v>
      </c>
      <c r="N95" s="109"/>
      <c r="O95" s="122">
        <v>2.17262</v>
      </c>
      <c r="P95" s="146">
        <v>0.1975</v>
      </c>
      <c r="Q95" s="147">
        <v>0.5498</v>
      </c>
      <c r="R95" s="109"/>
      <c r="S95" s="109"/>
      <c r="T95" s="109"/>
      <c r="U95" s="109"/>
      <c r="V95" s="109"/>
      <c r="W95" s="109"/>
      <c r="X95" s="109"/>
      <c r="Y95" s="109"/>
      <c r="Z95" s="65"/>
      <c r="AA95" s="65"/>
    </row>
    <row r="96">
      <c r="A96" s="108" t="s">
        <v>188</v>
      </c>
      <c r="B96" s="108">
        <v>3.0</v>
      </c>
      <c r="C96" s="108">
        <v>3.0</v>
      </c>
      <c r="D96" s="108">
        <v>3.0</v>
      </c>
      <c r="E96" s="108">
        <v>4.0</v>
      </c>
      <c r="F96" s="108">
        <v>5.0</v>
      </c>
      <c r="G96" s="108">
        <v>3.0</v>
      </c>
      <c r="H96" s="108">
        <v>4.0</v>
      </c>
      <c r="I96" s="108">
        <v>4.0</v>
      </c>
      <c r="J96" s="108">
        <v>5.0</v>
      </c>
      <c r="K96" s="108">
        <v>4.0</v>
      </c>
      <c r="L96" s="108">
        <v>4.0</v>
      </c>
      <c r="N96" s="109"/>
      <c r="O96" s="122">
        <v>1.722109</v>
      </c>
      <c r="P96" s="146">
        <v>0.1566</v>
      </c>
      <c r="Q96" s="148">
        <v>0.7063</v>
      </c>
      <c r="R96" s="109"/>
      <c r="S96" s="109"/>
      <c r="T96" s="109"/>
      <c r="U96" s="109"/>
      <c r="V96" s="109"/>
      <c r="W96" s="109"/>
      <c r="X96" s="109"/>
      <c r="Y96" s="109"/>
      <c r="Z96" s="65"/>
      <c r="AA96" s="65"/>
    </row>
    <row r="97">
      <c r="A97" s="108" t="s">
        <v>189</v>
      </c>
      <c r="B97" s="108">
        <v>1.0</v>
      </c>
      <c r="C97" s="108">
        <v>1.0</v>
      </c>
      <c r="D97" s="108">
        <v>1.0</v>
      </c>
      <c r="E97" s="108">
        <v>3.0</v>
      </c>
      <c r="F97" s="108">
        <v>4.0</v>
      </c>
      <c r="G97" s="108">
        <v>1.0</v>
      </c>
      <c r="H97" s="108">
        <v>4.0</v>
      </c>
      <c r="I97" s="108">
        <v>4.0</v>
      </c>
      <c r="J97" s="108">
        <v>2.0</v>
      </c>
      <c r="K97" s="108">
        <v>4.0</v>
      </c>
      <c r="L97" s="108">
        <v>4.0</v>
      </c>
      <c r="N97" s="109"/>
      <c r="O97" s="122">
        <v>1.024674</v>
      </c>
      <c r="P97" s="146">
        <v>0.0932</v>
      </c>
      <c r="Q97" s="148">
        <v>0.7995</v>
      </c>
      <c r="R97" s="109"/>
      <c r="S97" s="109"/>
      <c r="T97" s="109"/>
      <c r="U97" s="109"/>
      <c r="V97" s="109"/>
      <c r="W97" s="109"/>
      <c r="X97" s="109"/>
      <c r="Y97" s="109"/>
      <c r="Z97" s="65"/>
      <c r="AA97" s="65"/>
    </row>
    <row r="98">
      <c r="A98" s="108" t="s">
        <v>190</v>
      </c>
      <c r="B98" s="108">
        <v>2.0</v>
      </c>
      <c r="C98" s="108">
        <v>3.0</v>
      </c>
      <c r="D98" s="108">
        <v>4.0</v>
      </c>
      <c r="E98" s="108">
        <v>3.0</v>
      </c>
      <c r="F98" s="108">
        <v>3.0</v>
      </c>
      <c r="G98" s="108">
        <v>3.0</v>
      </c>
      <c r="H98" s="108">
        <v>3.0</v>
      </c>
      <c r="I98" s="108">
        <v>3.0</v>
      </c>
      <c r="J98" s="108">
        <v>5.0</v>
      </c>
      <c r="K98" s="108">
        <v>3.0</v>
      </c>
      <c r="L98" s="108">
        <v>3.0</v>
      </c>
      <c r="N98" s="109"/>
      <c r="O98" s="122">
        <v>0.614475</v>
      </c>
      <c r="P98" s="146">
        <v>0.0559</v>
      </c>
      <c r="Q98" s="148">
        <v>0.8553</v>
      </c>
      <c r="R98" s="109"/>
      <c r="S98" s="109"/>
      <c r="T98" s="109"/>
      <c r="U98" s="109"/>
      <c r="V98" s="109"/>
      <c r="W98" s="109"/>
      <c r="X98" s="109"/>
      <c r="Y98" s="109"/>
      <c r="Z98" s="65"/>
      <c r="AA98" s="65"/>
    </row>
    <row r="99">
      <c r="A99" s="108" t="s">
        <v>191</v>
      </c>
      <c r="B99" s="108">
        <v>3.0</v>
      </c>
      <c r="C99" s="108">
        <v>3.0</v>
      </c>
      <c r="D99" s="108">
        <v>1.0</v>
      </c>
      <c r="E99" s="108">
        <v>4.0</v>
      </c>
      <c r="F99" s="108">
        <v>3.0</v>
      </c>
      <c r="G99" s="108">
        <v>2.0</v>
      </c>
      <c r="H99" s="108">
        <v>1.0</v>
      </c>
      <c r="I99" s="108">
        <v>1.0</v>
      </c>
      <c r="J99" s="108">
        <v>4.0</v>
      </c>
      <c r="K99" s="108">
        <v>1.0</v>
      </c>
      <c r="L99" s="108">
        <v>1.0</v>
      </c>
      <c r="N99" s="109"/>
      <c r="O99" s="114">
        <v>0.475865</v>
      </c>
      <c r="P99" s="146">
        <v>0.0433</v>
      </c>
      <c r="Q99" s="148">
        <v>0.8986</v>
      </c>
      <c r="R99" s="109"/>
      <c r="S99" s="109"/>
      <c r="T99" s="109"/>
      <c r="U99" s="109"/>
      <c r="V99" s="109"/>
      <c r="W99" s="109"/>
      <c r="X99" s="109"/>
      <c r="Y99" s="109"/>
      <c r="Z99" s="65"/>
      <c r="AA99" s="65"/>
    </row>
    <row r="100">
      <c r="A100" s="108" t="s">
        <v>192</v>
      </c>
      <c r="B100" s="108">
        <v>0.0</v>
      </c>
      <c r="C100" s="108">
        <v>4.0</v>
      </c>
      <c r="D100" s="108">
        <v>4.0</v>
      </c>
      <c r="E100" s="108">
        <v>4.0</v>
      </c>
      <c r="F100" s="108">
        <v>4.0</v>
      </c>
      <c r="G100" s="108">
        <v>1.0</v>
      </c>
      <c r="H100" s="108">
        <v>4.0</v>
      </c>
      <c r="I100" s="108">
        <v>3.0</v>
      </c>
      <c r="J100" s="108">
        <v>0.0</v>
      </c>
      <c r="K100" s="108">
        <v>2.0</v>
      </c>
      <c r="L100" s="108">
        <v>2.0</v>
      </c>
      <c r="N100" s="109"/>
      <c r="O100" s="114">
        <v>0.327613</v>
      </c>
      <c r="P100" s="146">
        <v>0.0298</v>
      </c>
      <c r="Q100" s="148">
        <v>0.9284</v>
      </c>
      <c r="R100" s="109"/>
      <c r="S100" s="109"/>
      <c r="T100" s="109"/>
      <c r="U100" s="109"/>
      <c r="V100" s="109"/>
      <c r="W100" s="109"/>
      <c r="X100" s="109"/>
      <c r="Y100" s="109"/>
      <c r="Z100" s="65"/>
      <c r="AA100" s="65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N101" s="109"/>
      <c r="O101" s="114">
        <v>0.270436</v>
      </c>
      <c r="P101" s="146">
        <v>0.0246</v>
      </c>
      <c r="Q101" s="148">
        <v>0.953</v>
      </c>
      <c r="R101" s="109"/>
      <c r="S101" s="109"/>
      <c r="T101" s="109"/>
      <c r="U101" s="109"/>
      <c r="V101" s="109"/>
      <c r="W101" s="109"/>
      <c r="X101" s="109"/>
      <c r="Y101" s="109"/>
      <c r="Z101" s="65"/>
      <c r="AA101" s="65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N102" s="109"/>
      <c r="O102" s="114">
        <v>0.220704</v>
      </c>
      <c r="P102" s="146">
        <v>0.0201</v>
      </c>
      <c r="Q102" s="148">
        <v>0.973</v>
      </c>
      <c r="R102" s="109"/>
      <c r="S102" s="109"/>
      <c r="T102" s="109"/>
      <c r="U102" s="109"/>
      <c r="V102" s="109"/>
      <c r="W102" s="109"/>
      <c r="X102" s="109"/>
      <c r="Y102" s="109"/>
      <c r="Z102" s="65"/>
      <c r="AA102" s="65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N103" s="109"/>
      <c r="O103" s="114">
        <v>0.174172</v>
      </c>
      <c r="P103" s="146">
        <v>0.0158</v>
      </c>
      <c r="Q103" s="148">
        <v>0.9889</v>
      </c>
      <c r="R103" s="109"/>
      <c r="S103" s="109"/>
      <c r="T103" s="109"/>
      <c r="U103" s="109"/>
      <c r="V103" s="109"/>
      <c r="W103" s="109"/>
      <c r="X103" s="109"/>
      <c r="Y103" s="109"/>
      <c r="Z103" s="65"/>
      <c r="AA103" s="65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N104" s="109"/>
      <c r="O104" s="117">
        <v>0.122576</v>
      </c>
      <c r="P104" s="149">
        <v>0.0111</v>
      </c>
      <c r="Q104" s="150">
        <v>1.0</v>
      </c>
      <c r="R104" s="109"/>
      <c r="S104" s="109"/>
      <c r="T104" s="109"/>
      <c r="U104" s="109"/>
      <c r="V104" s="109"/>
      <c r="W104" s="109"/>
      <c r="X104" s="109"/>
      <c r="Y104" s="109"/>
      <c r="Z104" s="65"/>
      <c r="AA104" s="65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N105" s="109"/>
      <c r="O105" s="123">
        <v>11.0</v>
      </c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65"/>
      <c r="AA105" s="65"/>
    </row>
    <row r="106"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65"/>
      <c r="AA106" s="65"/>
    </row>
    <row r="107">
      <c r="N107" s="110" t="s">
        <v>47</v>
      </c>
      <c r="Q107" s="109"/>
      <c r="R107" s="109"/>
      <c r="S107" s="109"/>
      <c r="T107" s="109"/>
      <c r="U107" s="109"/>
      <c r="V107" s="109"/>
      <c r="W107" s="109"/>
      <c r="X107" s="109"/>
      <c r="Y107" s="109"/>
      <c r="Z107" s="65"/>
      <c r="AA107" s="65"/>
    </row>
    <row r="108"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N109" s="65"/>
      <c r="O109" s="127">
        <v>1.0</v>
      </c>
      <c r="P109" s="127">
        <v>2.0</v>
      </c>
      <c r="Q109" s="127">
        <v>3.0</v>
      </c>
      <c r="R109" s="127">
        <v>4.0</v>
      </c>
      <c r="S109" s="65"/>
      <c r="T109" s="128" t="s">
        <v>42</v>
      </c>
      <c r="U109" s="128" t="s">
        <v>48</v>
      </c>
      <c r="V109" s="65"/>
      <c r="W109" s="65"/>
      <c r="X109" s="65"/>
      <c r="Y109" s="65"/>
      <c r="Z109" s="65"/>
      <c r="AA109" s="65"/>
    </row>
    <row r="110">
      <c r="N110" s="128" t="s">
        <v>93</v>
      </c>
      <c r="O110" s="151">
        <v>-0.37609</v>
      </c>
      <c r="P110" s="152">
        <v>-0.68318</v>
      </c>
      <c r="Q110" s="153">
        <v>-0.46975</v>
      </c>
      <c r="R110" s="154">
        <v>-0.10102</v>
      </c>
      <c r="S110" s="65"/>
      <c r="T110" s="130">
        <v>0.839049</v>
      </c>
      <c r="U110" s="154">
        <v>0.160951</v>
      </c>
      <c r="V110" s="65"/>
      <c r="W110" s="65"/>
      <c r="X110" s="65"/>
      <c r="Y110" s="65"/>
      <c r="Z110" s="65"/>
      <c r="AA110" s="65"/>
    </row>
    <row r="111">
      <c r="N111" s="128" t="s">
        <v>80</v>
      </c>
      <c r="O111" s="155">
        <v>-0.29045</v>
      </c>
      <c r="P111" s="156">
        <v>-0.68585</v>
      </c>
      <c r="Q111" s="157">
        <v>-0.45887</v>
      </c>
      <c r="R111" s="158">
        <v>0.001637</v>
      </c>
      <c r="S111" s="65"/>
      <c r="T111" s="132">
        <v>0.765323</v>
      </c>
      <c r="U111" s="158">
        <v>0.234677</v>
      </c>
      <c r="V111" s="65"/>
      <c r="W111" s="65"/>
      <c r="X111" s="65"/>
      <c r="Y111" s="65"/>
      <c r="Z111" s="65"/>
      <c r="AA111" s="65"/>
    </row>
    <row r="112">
      <c r="N112" s="128" t="s">
        <v>94</v>
      </c>
      <c r="O112" s="159">
        <v>-0.84723</v>
      </c>
      <c r="P112" s="157">
        <v>0.027057</v>
      </c>
      <c r="Q112" s="157">
        <v>0.198989</v>
      </c>
      <c r="R112" s="158">
        <v>0.275339</v>
      </c>
      <c r="S112" s="65"/>
      <c r="T112" s="132">
        <v>0.833933</v>
      </c>
      <c r="U112" s="158">
        <v>0.166067</v>
      </c>
      <c r="V112" s="65"/>
      <c r="W112" s="65"/>
      <c r="X112" s="65"/>
      <c r="Y112" s="65"/>
      <c r="Z112" s="65"/>
      <c r="AA112" s="65"/>
    </row>
    <row r="113">
      <c r="N113" s="128" t="s">
        <v>81</v>
      </c>
      <c r="O113" s="155">
        <v>-0.58558</v>
      </c>
      <c r="P113" s="157">
        <v>-0.49328</v>
      </c>
      <c r="Q113" s="157">
        <v>-0.04014</v>
      </c>
      <c r="R113" s="158">
        <v>-0.48865</v>
      </c>
      <c r="S113" s="65"/>
      <c r="T113" s="132">
        <v>0.826624</v>
      </c>
      <c r="U113" s="158">
        <v>0.173376</v>
      </c>
      <c r="V113" s="65"/>
      <c r="W113" s="65"/>
      <c r="X113" s="65"/>
      <c r="Y113" s="65"/>
      <c r="Z113" s="65"/>
      <c r="AA113" s="65"/>
    </row>
    <row r="114">
      <c r="N114" s="128" t="s">
        <v>87</v>
      </c>
      <c r="O114" s="159">
        <v>-0.82667</v>
      </c>
      <c r="P114" s="157">
        <v>-0.03852</v>
      </c>
      <c r="Q114" s="157">
        <v>0.405828</v>
      </c>
      <c r="R114" s="158">
        <v>0.041273</v>
      </c>
      <c r="S114" s="65"/>
      <c r="T114" s="132">
        <v>0.85126</v>
      </c>
      <c r="U114" s="158">
        <v>0.14874</v>
      </c>
      <c r="V114" s="65"/>
      <c r="W114" s="65"/>
      <c r="X114" s="65"/>
      <c r="Y114" s="65"/>
      <c r="Z114" s="65"/>
      <c r="AA114" s="65"/>
    </row>
    <row r="115">
      <c r="N115" s="128" t="s">
        <v>86</v>
      </c>
      <c r="O115" s="159">
        <v>-0.88396</v>
      </c>
      <c r="P115" s="157">
        <v>0.288992</v>
      </c>
      <c r="Q115" s="157">
        <v>0.033503</v>
      </c>
      <c r="R115" s="158">
        <v>0.040521</v>
      </c>
      <c r="S115" s="65"/>
      <c r="T115" s="132">
        <v>0.867671</v>
      </c>
      <c r="U115" s="158">
        <v>0.132329</v>
      </c>
      <c r="V115" s="65"/>
      <c r="W115" s="65"/>
      <c r="X115" s="65"/>
      <c r="Y115" s="65"/>
      <c r="Z115" s="65"/>
      <c r="AA115" s="65"/>
    </row>
    <row r="116">
      <c r="N116" s="128" t="s">
        <v>82</v>
      </c>
      <c r="O116" s="155">
        <v>-0.45495</v>
      </c>
      <c r="P116" s="157">
        <v>0.37067</v>
      </c>
      <c r="Q116" s="157">
        <v>-0.41561</v>
      </c>
      <c r="R116" s="158">
        <v>-0.33965</v>
      </c>
      <c r="S116" s="65"/>
      <c r="T116" s="132">
        <v>0.632467</v>
      </c>
      <c r="U116" s="158">
        <v>0.367533</v>
      </c>
      <c r="V116" s="65"/>
      <c r="W116" s="65"/>
      <c r="X116" s="65"/>
      <c r="Y116" s="65"/>
      <c r="Z116" s="65"/>
      <c r="AA116" s="65"/>
    </row>
    <row r="117">
      <c r="N117" s="128" t="s">
        <v>95</v>
      </c>
      <c r="O117" s="155">
        <v>0.100154</v>
      </c>
      <c r="P117" s="157">
        <v>-0.30361</v>
      </c>
      <c r="Q117" s="157">
        <v>-0.47565</v>
      </c>
      <c r="R117" s="160">
        <v>0.710899</v>
      </c>
      <c r="S117" s="65"/>
      <c r="T117" s="132">
        <v>0.833828</v>
      </c>
      <c r="U117" s="158">
        <v>0.166172</v>
      </c>
      <c r="V117" s="65"/>
      <c r="W117" s="65"/>
      <c r="X117" s="65"/>
      <c r="Y117" s="65"/>
      <c r="Z117" s="65"/>
      <c r="AA117" s="65"/>
    </row>
    <row r="118">
      <c r="N118" s="128" t="s">
        <v>83</v>
      </c>
      <c r="O118" s="155">
        <v>-0.27108</v>
      </c>
      <c r="P118" s="157">
        <v>0.553598</v>
      </c>
      <c r="Q118" s="157">
        <v>-0.56329</v>
      </c>
      <c r="R118" s="158">
        <v>-0.00692</v>
      </c>
      <c r="S118" s="65"/>
      <c r="T118" s="132">
        <v>0.697297</v>
      </c>
      <c r="U118" s="158">
        <v>0.302703</v>
      </c>
      <c r="V118" s="65"/>
      <c r="W118" s="65"/>
      <c r="X118" s="65"/>
      <c r="Y118" s="65"/>
      <c r="Z118" s="65"/>
      <c r="AA118" s="65"/>
    </row>
    <row r="119">
      <c r="N119" s="128" t="s">
        <v>84</v>
      </c>
      <c r="O119" s="155">
        <v>-0.45288</v>
      </c>
      <c r="P119" s="157">
        <v>0.590116</v>
      </c>
      <c r="Q119" s="157">
        <v>-0.4677</v>
      </c>
      <c r="R119" s="158">
        <v>0.09722</v>
      </c>
      <c r="S119" s="65"/>
      <c r="T119" s="132">
        <v>0.781532</v>
      </c>
      <c r="U119" s="158">
        <v>0.218468</v>
      </c>
      <c r="V119" s="65"/>
      <c r="W119" s="65"/>
      <c r="X119" s="65"/>
      <c r="Y119" s="65"/>
      <c r="Z119" s="65"/>
      <c r="AA119" s="65"/>
    </row>
    <row r="120">
      <c r="N120" s="128" t="s">
        <v>90</v>
      </c>
      <c r="O120" s="161">
        <v>-0.7924</v>
      </c>
      <c r="P120" s="162">
        <v>-0.1488</v>
      </c>
      <c r="Q120" s="162">
        <v>0.38581</v>
      </c>
      <c r="R120" s="163">
        <v>0.257467</v>
      </c>
      <c r="S120" s="65"/>
      <c r="T120" s="136">
        <v>0.865173</v>
      </c>
      <c r="U120" s="163">
        <v>0.134827</v>
      </c>
      <c r="V120" s="65"/>
      <c r="W120" s="65"/>
      <c r="X120" s="65"/>
      <c r="Y120" s="65"/>
      <c r="Z120" s="65"/>
      <c r="AA120" s="65"/>
    </row>
    <row r="121">
      <c r="N121" s="65"/>
      <c r="O121" s="127">
        <v>3.874756</v>
      </c>
      <c r="P121" s="127">
        <v>2.17262</v>
      </c>
      <c r="Q121" s="127">
        <v>1.722109</v>
      </c>
      <c r="R121" s="127">
        <v>1.024674</v>
      </c>
      <c r="S121" s="65"/>
      <c r="T121" s="127">
        <v>8.794158</v>
      </c>
      <c r="U121" s="127">
        <v>2.205842</v>
      </c>
      <c r="V121" s="65"/>
      <c r="W121" s="65"/>
      <c r="X121" s="65"/>
      <c r="Y121" s="65"/>
      <c r="Z121" s="65"/>
      <c r="AA121" s="65"/>
    </row>
    <row r="122"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N123" s="128" t="s">
        <v>49</v>
      </c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N125" s="65"/>
      <c r="O125" s="127">
        <v>1.0</v>
      </c>
      <c r="P125" s="127">
        <v>2.0</v>
      </c>
      <c r="Q125" s="127">
        <v>3.0</v>
      </c>
      <c r="R125" s="127">
        <v>4.0</v>
      </c>
      <c r="S125" s="65"/>
      <c r="T125" s="128" t="s">
        <v>42</v>
      </c>
      <c r="U125" s="128" t="s">
        <v>48</v>
      </c>
      <c r="V125" s="65"/>
      <c r="W125" s="65"/>
      <c r="X125" s="65"/>
      <c r="Y125" s="65"/>
      <c r="Z125" s="65"/>
      <c r="AA125" s="65"/>
    </row>
    <row r="126">
      <c r="N126" s="128" t="s">
        <v>93</v>
      </c>
      <c r="O126" s="151">
        <v>-0.08454</v>
      </c>
      <c r="P126" s="152">
        <v>-0.8989</v>
      </c>
      <c r="Q126" s="153">
        <v>-0.0316</v>
      </c>
      <c r="R126" s="154">
        <v>0.151251</v>
      </c>
      <c r="S126" s="65"/>
      <c r="T126" s="130">
        <v>0.839049</v>
      </c>
      <c r="U126" s="154">
        <v>0.160951</v>
      </c>
      <c r="V126" s="65"/>
      <c r="W126" s="65"/>
      <c r="X126" s="65"/>
      <c r="Y126" s="65"/>
      <c r="Z126" s="65"/>
      <c r="AA126" s="65"/>
    </row>
    <row r="127">
      <c r="N127" s="128" t="s">
        <v>80</v>
      </c>
      <c r="O127" s="155">
        <v>-0.04779</v>
      </c>
      <c r="P127" s="156">
        <v>-0.83652</v>
      </c>
      <c r="Q127" s="157">
        <v>0.022135</v>
      </c>
      <c r="R127" s="158">
        <v>0.250583</v>
      </c>
      <c r="S127" s="65"/>
      <c r="T127" s="132">
        <v>0.765323</v>
      </c>
      <c r="U127" s="158">
        <v>0.234677</v>
      </c>
      <c r="V127" s="65"/>
      <c r="W127" s="65"/>
      <c r="X127" s="65"/>
      <c r="Y127" s="65"/>
      <c r="Z127" s="65"/>
      <c r="AA127" s="65"/>
    </row>
    <row r="128">
      <c r="N128" s="128" t="s">
        <v>94</v>
      </c>
      <c r="O128" s="159">
        <v>-0.88669</v>
      </c>
      <c r="P128" s="157">
        <v>-0.09826</v>
      </c>
      <c r="Q128" s="157">
        <v>-0.1841</v>
      </c>
      <c r="R128" s="158">
        <v>0.064503</v>
      </c>
      <c r="S128" s="65"/>
      <c r="T128" s="132">
        <v>0.833933</v>
      </c>
      <c r="U128" s="158">
        <v>0.166067</v>
      </c>
      <c r="V128" s="65"/>
      <c r="W128" s="65"/>
      <c r="X128" s="65"/>
      <c r="Y128" s="65"/>
      <c r="Z128" s="65"/>
      <c r="AA128" s="65"/>
    </row>
    <row r="129">
      <c r="N129" s="128" t="s">
        <v>81</v>
      </c>
      <c r="O129" s="155">
        <v>-0.33367</v>
      </c>
      <c r="P129" s="156">
        <v>-0.73498</v>
      </c>
      <c r="Q129" s="157">
        <v>0.00463</v>
      </c>
      <c r="R129" s="158">
        <v>-0.41842</v>
      </c>
      <c r="S129" s="65"/>
      <c r="T129" s="132">
        <v>0.826624</v>
      </c>
      <c r="U129" s="158">
        <v>0.173376</v>
      </c>
      <c r="V129" s="65"/>
      <c r="W129" s="65"/>
      <c r="X129" s="65"/>
      <c r="Y129" s="65"/>
      <c r="Z129" s="65"/>
      <c r="AA129" s="65"/>
    </row>
    <row r="130">
      <c r="N130" s="128" t="s">
        <v>87</v>
      </c>
      <c r="O130" s="159">
        <v>-0.89072</v>
      </c>
      <c r="P130" s="157">
        <v>-0.10956</v>
      </c>
      <c r="Q130" s="157">
        <v>-0.02503</v>
      </c>
      <c r="R130" s="158">
        <v>-0.21271</v>
      </c>
      <c r="S130" s="65"/>
      <c r="T130" s="132">
        <v>0.85126</v>
      </c>
      <c r="U130" s="158">
        <v>0.14874</v>
      </c>
      <c r="V130" s="65"/>
      <c r="W130" s="65"/>
      <c r="X130" s="65"/>
      <c r="Y130" s="65"/>
      <c r="Z130" s="65"/>
      <c r="AA130" s="65"/>
    </row>
    <row r="131">
      <c r="N131" s="128" t="s">
        <v>86</v>
      </c>
      <c r="O131" s="159">
        <v>-0.7725</v>
      </c>
      <c r="P131" s="157">
        <v>-0.05982</v>
      </c>
      <c r="Q131" s="157">
        <v>-0.50035</v>
      </c>
      <c r="R131" s="158">
        <v>-0.1303</v>
      </c>
      <c r="S131" s="65"/>
      <c r="T131" s="132">
        <v>0.867671</v>
      </c>
      <c r="U131" s="158">
        <v>0.132329</v>
      </c>
      <c r="V131" s="65"/>
      <c r="W131" s="65"/>
      <c r="X131" s="65"/>
      <c r="Y131" s="65"/>
      <c r="Z131" s="65"/>
      <c r="AA131" s="65"/>
    </row>
    <row r="132">
      <c r="N132" s="128" t="s">
        <v>82</v>
      </c>
      <c r="O132" s="155">
        <v>-0.09679</v>
      </c>
      <c r="P132" s="157">
        <v>-0.17355</v>
      </c>
      <c r="Q132" s="156">
        <v>-0.72403</v>
      </c>
      <c r="R132" s="158">
        <v>-0.26222</v>
      </c>
      <c r="S132" s="65"/>
      <c r="T132" s="132">
        <v>0.632467</v>
      </c>
      <c r="U132" s="158">
        <v>0.367533</v>
      </c>
      <c r="V132" s="65"/>
      <c r="W132" s="65"/>
      <c r="X132" s="65"/>
      <c r="Y132" s="65"/>
      <c r="Z132" s="65"/>
      <c r="AA132" s="65"/>
    </row>
    <row r="133">
      <c r="N133" s="128" t="s">
        <v>95</v>
      </c>
      <c r="O133" s="155">
        <v>0.079186</v>
      </c>
      <c r="P133" s="157">
        <v>-0.21629</v>
      </c>
      <c r="Q133" s="164">
        <v>6.78E-5</v>
      </c>
      <c r="R133" s="160">
        <v>0.883615</v>
      </c>
      <c r="S133" s="65"/>
      <c r="T133" s="132">
        <v>0.833828</v>
      </c>
      <c r="U133" s="158">
        <v>0.166172</v>
      </c>
      <c r="V133" s="65"/>
      <c r="W133" s="65"/>
      <c r="X133" s="65"/>
      <c r="Y133" s="65"/>
      <c r="Z133" s="65"/>
      <c r="AA133" s="65"/>
    </row>
    <row r="134">
      <c r="N134" s="128" t="s">
        <v>83</v>
      </c>
      <c r="O134" s="155">
        <v>0.025059</v>
      </c>
      <c r="P134" s="157">
        <v>0.053702</v>
      </c>
      <c r="Q134" s="156">
        <v>-0.82831</v>
      </c>
      <c r="R134" s="158">
        <v>0.087671</v>
      </c>
      <c r="S134" s="65"/>
      <c r="T134" s="132">
        <v>0.697297</v>
      </c>
      <c r="U134" s="158">
        <v>0.302703</v>
      </c>
      <c r="V134" s="65"/>
      <c r="W134" s="65"/>
      <c r="X134" s="65"/>
      <c r="Y134" s="65"/>
      <c r="Z134" s="65"/>
      <c r="AA134" s="65"/>
    </row>
    <row r="135">
      <c r="N135" s="128" t="s">
        <v>84</v>
      </c>
      <c r="O135" s="155">
        <v>-0.20191</v>
      </c>
      <c r="P135" s="157">
        <v>0.094012</v>
      </c>
      <c r="Q135" s="156">
        <v>-0.84748</v>
      </c>
      <c r="R135" s="158">
        <v>0.117052</v>
      </c>
      <c r="S135" s="65"/>
      <c r="T135" s="132">
        <v>0.781532</v>
      </c>
      <c r="U135" s="158">
        <v>0.218468</v>
      </c>
      <c r="V135" s="65"/>
      <c r="W135" s="65"/>
      <c r="X135" s="65"/>
      <c r="Y135" s="65"/>
      <c r="Z135" s="65"/>
      <c r="AA135" s="65"/>
    </row>
    <row r="136">
      <c r="N136" s="128" t="s">
        <v>90</v>
      </c>
      <c r="O136" s="161">
        <v>-0.91855</v>
      </c>
      <c r="P136" s="162">
        <v>-0.12816</v>
      </c>
      <c r="Q136" s="162">
        <v>0.069785</v>
      </c>
      <c r="R136" s="163">
        <v>0.011713</v>
      </c>
      <c r="S136" s="65"/>
      <c r="T136" s="136">
        <v>0.865173</v>
      </c>
      <c r="U136" s="163">
        <v>0.134827</v>
      </c>
      <c r="V136" s="65"/>
      <c r="W136" s="65"/>
      <c r="X136" s="65"/>
      <c r="Y136" s="65"/>
      <c r="Z136" s="65"/>
      <c r="AA136" s="65"/>
    </row>
    <row r="137">
      <c r="N137" s="65"/>
      <c r="O137" s="127">
        <v>3.19791</v>
      </c>
      <c r="P137" s="127">
        <v>2.178267</v>
      </c>
      <c r="Q137" s="127">
        <v>2.219796</v>
      </c>
      <c r="R137" s="127">
        <v>1.198185</v>
      </c>
      <c r="S137" s="65"/>
      <c r="T137" s="127">
        <v>8.794158</v>
      </c>
      <c r="U137" s="127">
        <v>2.205842</v>
      </c>
      <c r="V137" s="65"/>
      <c r="W137" s="65"/>
      <c r="X137" s="65"/>
      <c r="Y137" s="65"/>
      <c r="Z137" s="65"/>
      <c r="AA137" s="65"/>
    </row>
    <row r="138"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N139" s="128" t="s">
        <v>50</v>
      </c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N141" s="65"/>
      <c r="O141" s="128" t="s">
        <v>93</v>
      </c>
      <c r="P141" s="128" t="s">
        <v>80</v>
      </c>
      <c r="Q141" s="128" t="s">
        <v>94</v>
      </c>
      <c r="R141" s="128" t="s">
        <v>81</v>
      </c>
      <c r="S141" s="128" t="s">
        <v>87</v>
      </c>
      <c r="T141" s="128" t="s">
        <v>86</v>
      </c>
      <c r="U141" s="128" t="s">
        <v>82</v>
      </c>
      <c r="V141" s="128" t="s">
        <v>95</v>
      </c>
      <c r="W141" s="128" t="s">
        <v>83</v>
      </c>
      <c r="X141" s="128" t="s">
        <v>84</v>
      </c>
      <c r="Y141" s="128" t="s">
        <v>90</v>
      </c>
      <c r="AA141" s="65"/>
    </row>
    <row r="142">
      <c r="N142" s="128" t="s">
        <v>93</v>
      </c>
      <c r="O142" s="165">
        <v>0.839049</v>
      </c>
      <c r="P142" s="166">
        <v>0.793188</v>
      </c>
      <c r="Q142" s="153">
        <v>0.178858</v>
      </c>
      <c r="R142" s="166">
        <v>0.625451</v>
      </c>
      <c r="S142" s="153">
        <v>0.142407</v>
      </c>
      <c r="T142" s="153">
        <v>0.115181</v>
      </c>
      <c r="U142" s="153">
        <v>0.147405</v>
      </c>
      <c r="V142" s="153">
        <v>0.321378</v>
      </c>
      <c r="W142" s="153">
        <v>-0.01096</v>
      </c>
      <c r="X142" s="153">
        <v>-0.02296</v>
      </c>
      <c r="Y142" s="154">
        <v>0.192425</v>
      </c>
      <c r="Z142" s="65"/>
      <c r="AA142" s="65"/>
    </row>
    <row r="143">
      <c r="N143" s="128" t="s">
        <v>80</v>
      </c>
      <c r="O143" s="167">
        <v>0.793188</v>
      </c>
      <c r="P143" s="127">
        <v>0.765323</v>
      </c>
      <c r="Q143" s="157">
        <v>0.13666</v>
      </c>
      <c r="R143" s="157">
        <v>0.526022</v>
      </c>
      <c r="S143" s="157">
        <v>0.080367</v>
      </c>
      <c r="T143" s="157">
        <v>0.043234</v>
      </c>
      <c r="U143" s="157">
        <v>0.06807</v>
      </c>
      <c r="V143" s="157">
        <v>0.398568</v>
      </c>
      <c r="W143" s="157">
        <v>-0.04249</v>
      </c>
      <c r="X143" s="157">
        <v>-0.05842</v>
      </c>
      <c r="Y143" s="158">
        <v>0.155588</v>
      </c>
      <c r="Z143" s="65"/>
      <c r="AA143" s="65"/>
    </row>
    <row r="144">
      <c r="N144" s="128" t="s">
        <v>94</v>
      </c>
      <c r="O144" s="155">
        <v>0.178858</v>
      </c>
      <c r="P144" s="157">
        <v>0.13666</v>
      </c>
      <c r="Q144" s="127">
        <v>0.833933</v>
      </c>
      <c r="R144" s="157">
        <v>0.340239</v>
      </c>
      <c r="S144" s="127">
        <v>0.791451</v>
      </c>
      <c r="T144" s="127">
        <v>0.77456</v>
      </c>
      <c r="U144" s="157">
        <v>0.219253</v>
      </c>
      <c r="V144" s="157">
        <v>0.008022</v>
      </c>
      <c r="W144" s="157">
        <v>0.130649</v>
      </c>
      <c r="X144" s="157">
        <v>0.333365</v>
      </c>
      <c r="Y144" s="160">
        <v>0.814977</v>
      </c>
      <c r="Z144" s="65"/>
      <c r="AA144" s="65"/>
    </row>
    <row r="145">
      <c r="N145" s="128" t="s">
        <v>81</v>
      </c>
      <c r="O145" s="167">
        <v>0.625451</v>
      </c>
      <c r="P145" s="157">
        <v>0.526022</v>
      </c>
      <c r="Q145" s="157">
        <v>0.340239</v>
      </c>
      <c r="R145" s="127">
        <v>0.826624</v>
      </c>
      <c r="S145" s="157">
        <v>0.466619</v>
      </c>
      <c r="T145" s="157">
        <v>0.35393</v>
      </c>
      <c r="U145" s="157">
        <v>0.266219</v>
      </c>
      <c r="V145" s="157">
        <v>-0.23717</v>
      </c>
      <c r="W145" s="157">
        <v>-0.08835</v>
      </c>
      <c r="X145" s="157">
        <v>-0.05463</v>
      </c>
      <c r="Y145" s="158">
        <v>0.39611</v>
      </c>
      <c r="Z145" s="65"/>
      <c r="AA145" s="65"/>
    </row>
    <row r="146">
      <c r="N146" s="128" t="s">
        <v>87</v>
      </c>
      <c r="O146" s="155">
        <v>0.142407</v>
      </c>
      <c r="P146" s="157">
        <v>0.080367</v>
      </c>
      <c r="Q146" s="127">
        <v>0.791451</v>
      </c>
      <c r="R146" s="157">
        <v>0.466619</v>
      </c>
      <c r="S146" s="127">
        <v>0.85126</v>
      </c>
      <c r="T146" s="127">
        <v>0.73488</v>
      </c>
      <c r="U146" s="157">
        <v>0.179128</v>
      </c>
      <c r="V146" s="157">
        <v>-0.23479</v>
      </c>
      <c r="W146" s="157">
        <v>-0.02612</v>
      </c>
      <c r="X146" s="157">
        <v>0.165863</v>
      </c>
      <c r="Y146" s="160">
        <v>0.827978</v>
      </c>
      <c r="Z146" s="65"/>
      <c r="AA146" s="65"/>
    </row>
    <row r="147">
      <c r="N147" s="128" t="s">
        <v>86</v>
      </c>
      <c r="O147" s="155">
        <v>0.115181</v>
      </c>
      <c r="P147" s="157">
        <v>0.043234</v>
      </c>
      <c r="Q147" s="127">
        <v>0.77456</v>
      </c>
      <c r="R147" s="157">
        <v>0.35393</v>
      </c>
      <c r="S147" s="127">
        <v>0.73488</v>
      </c>
      <c r="T147" s="127">
        <v>0.867671</v>
      </c>
      <c r="U147" s="157">
        <v>0.48159</v>
      </c>
      <c r="V147" s="157">
        <v>-0.1634</v>
      </c>
      <c r="W147" s="157">
        <v>0.380455</v>
      </c>
      <c r="X147" s="157">
        <v>0.559142</v>
      </c>
      <c r="Y147" s="160">
        <v>0.680808</v>
      </c>
      <c r="Z147" s="65"/>
      <c r="AA147" s="65"/>
    </row>
    <row r="148">
      <c r="N148" s="128" t="s">
        <v>82</v>
      </c>
      <c r="O148" s="155">
        <v>0.147405</v>
      </c>
      <c r="P148" s="157">
        <v>0.06807</v>
      </c>
      <c r="Q148" s="157">
        <v>0.219253</v>
      </c>
      <c r="R148" s="157">
        <v>0.266219</v>
      </c>
      <c r="S148" s="157">
        <v>0.179128</v>
      </c>
      <c r="T148" s="157">
        <v>0.48159</v>
      </c>
      <c r="U148" s="127">
        <v>0.632467</v>
      </c>
      <c r="V148" s="157">
        <v>-0.20188</v>
      </c>
      <c r="W148" s="157">
        <v>0.564987</v>
      </c>
      <c r="X148" s="157">
        <v>0.586135</v>
      </c>
      <c r="Y148" s="158">
        <v>0.05755</v>
      </c>
      <c r="Z148" s="65"/>
      <c r="AA148" s="65"/>
    </row>
    <row r="149">
      <c r="N149" s="128" t="s">
        <v>95</v>
      </c>
      <c r="O149" s="155">
        <v>0.321378</v>
      </c>
      <c r="P149" s="157">
        <v>0.398568</v>
      </c>
      <c r="Q149" s="157">
        <v>0.008022</v>
      </c>
      <c r="R149" s="157">
        <v>-0.23717</v>
      </c>
      <c r="S149" s="157">
        <v>-0.23479</v>
      </c>
      <c r="T149" s="157">
        <v>-0.1634</v>
      </c>
      <c r="U149" s="157">
        <v>-0.20188</v>
      </c>
      <c r="V149" s="127">
        <v>0.833828</v>
      </c>
      <c r="W149" s="157">
        <v>0.067781</v>
      </c>
      <c r="X149" s="157">
        <v>0.067048</v>
      </c>
      <c r="Y149" s="158">
        <v>-0.03466</v>
      </c>
      <c r="Z149" s="65"/>
      <c r="AA149" s="65"/>
    </row>
    <row r="150">
      <c r="N150" s="128" t="s">
        <v>83</v>
      </c>
      <c r="O150" s="155">
        <v>-0.01096</v>
      </c>
      <c r="P150" s="157">
        <v>-0.04249</v>
      </c>
      <c r="Q150" s="157">
        <v>0.130649</v>
      </c>
      <c r="R150" s="157">
        <v>-0.08835</v>
      </c>
      <c r="S150" s="157">
        <v>-0.02612</v>
      </c>
      <c r="T150" s="157">
        <v>0.380455</v>
      </c>
      <c r="U150" s="157">
        <v>0.564987</v>
      </c>
      <c r="V150" s="157">
        <v>0.067781</v>
      </c>
      <c r="W150" s="127">
        <v>0.697297</v>
      </c>
      <c r="X150" s="127">
        <v>0.712229</v>
      </c>
      <c r="Y150" s="158">
        <v>-0.08668</v>
      </c>
      <c r="Z150" s="65"/>
      <c r="AA150" s="65"/>
    </row>
    <row r="151">
      <c r="N151" s="128" t="s">
        <v>84</v>
      </c>
      <c r="O151" s="155">
        <v>-0.02296</v>
      </c>
      <c r="P151" s="157">
        <v>-0.05842</v>
      </c>
      <c r="Q151" s="157">
        <v>0.333365</v>
      </c>
      <c r="R151" s="157">
        <v>-0.05463</v>
      </c>
      <c r="S151" s="157">
        <v>0.165863</v>
      </c>
      <c r="T151" s="157">
        <v>0.559142</v>
      </c>
      <c r="U151" s="157">
        <v>0.586135</v>
      </c>
      <c r="V151" s="157">
        <v>0.067048</v>
      </c>
      <c r="W151" s="127">
        <v>0.712229</v>
      </c>
      <c r="X151" s="127">
        <v>0.781532</v>
      </c>
      <c r="Y151" s="158">
        <v>0.115646</v>
      </c>
      <c r="Z151" s="65"/>
      <c r="AA151" s="65"/>
    </row>
    <row r="152">
      <c r="N152" s="128" t="s">
        <v>90</v>
      </c>
      <c r="O152" s="168">
        <v>0.192425</v>
      </c>
      <c r="P152" s="162">
        <v>0.155588</v>
      </c>
      <c r="Q152" s="169">
        <v>0.814977</v>
      </c>
      <c r="R152" s="162">
        <v>0.39611</v>
      </c>
      <c r="S152" s="169">
        <v>0.827978</v>
      </c>
      <c r="T152" s="169">
        <v>0.680808</v>
      </c>
      <c r="U152" s="162">
        <v>0.05755</v>
      </c>
      <c r="V152" s="162">
        <v>-0.03466</v>
      </c>
      <c r="W152" s="162">
        <v>-0.08668</v>
      </c>
      <c r="X152" s="162">
        <v>0.115646</v>
      </c>
      <c r="Y152" s="170">
        <v>0.865173</v>
      </c>
      <c r="Z152" s="65"/>
      <c r="AA152" s="65"/>
    </row>
    <row r="153"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N154" s="128" t="s">
        <v>51</v>
      </c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N156" s="65"/>
      <c r="O156" s="128" t="s">
        <v>93</v>
      </c>
      <c r="P156" s="128" t="s">
        <v>80</v>
      </c>
      <c r="Q156" s="128" t="s">
        <v>94</v>
      </c>
      <c r="R156" s="128" t="s">
        <v>81</v>
      </c>
      <c r="S156" s="128" t="s">
        <v>87</v>
      </c>
      <c r="T156" s="128" t="s">
        <v>86</v>
      </c>
      <c r="U156" s="128" t="s">
        <v>82</v>
      </c>
      <c r="V156" s="128" t="s">
        <v>95</v>
      </c>
      <c r="W156" s="128" t="s">
        <v>83</v>
      </c>
      <c r="X156" s="128" t="s">
        <v>84</v>
      </c>
      <c r="Y156" s="128" t="s">
        <v>90</v>
      </c>
      <c r="AA156" s="65"/>
    </row>
    <row r="157">
      <c r="N157" s="128" t="s">
        <v>93</v>
      </c>
      <c r="O157" s="151">
        <v>0.160951</v>
      </c>
      <c r="P157" s="153">
        <v>-0.09758</v>
      </c>
      <c r="Q157" s="153">
        <v>0.019016</v>
      </c>
      <c r="R157" s="153">
        <v>-0.06798</v>
      </c>
      <c r="S157" s="153">
        <v>0.001861</v>
      </c>
      <c r="T157" s="153">
        <v>-0.00513</v>
      </c>
      <c r="U157" s="153">
        <v>-0.02944</v>
      </c>
      <c r="V157" s="153">
        <v>-0.04376</v>
      </c>
      <c r="W157" s="153">
        <v>0.025577</v>
      </c>
      <c r="X157" s="153">
        <v>-0.00982</v>
      </c>
      <c r="Y157" s="154">
        <v>0.001299</v>
      </c>
      <c r="Z157" s="65"/>
      <c r="AA157" s="65"/>
    </row>
    <row r="158">
      <c r="N158" s="128" t="s">
        <v>80</v>
      </c>
      <c r="O158" s="155">
        <v>-0.09758</v>
      </c>
      <c r="P158" s="157">
        <v>0.234677</v>
      </c>
      <c r="Q158" s="157">
        <v>0.016669</v>
      </c>
      <c r="R158" s="157">
        <v>-0.0875</v>
      </c>
      <c r="S158" s="157">
        <v>-0.04198</v>
      </c>
      <c r="T158" s="157">
        <v>0.027703</v>
      </c>
      <c r="U158" s="157">
        <v>-0.07076</v>
      </c>
      <c r="V158" s="157">
        <v>-0.12674</v>
      </c>
      <c r="W158" s="157">
        <v>-0.00433</v>
      </c>
      <c r="X158" s="157">
        <v>0.056369</v>
      </c>
      <c r="Y158" s="158">
        <v>0.013895</v>
      </c>
      <c r="Z158" s="65"/>
      <c r="AA158" s="65"/>
    </row>
    <row r="159">
      <c r="N159" s="128" t="s">
        <v>94</v>
      </c>
      <c r="O159" s="155">
        <v>0.019016</v>
      </c>
      <c r="P159" s="157">
        <v>0.016669</v>
      </c>
      <c r="Q159" s="157">
        <v>0.166067</v>
      </c>
      <c r="R159" s="157">
        <v>-0.02775</v>
      </c>
      <c r="S159" s="157">
        <v>-0.08874</v>
      </c>
      <c r="T159" s="157">
        <v>-0.01138</v>
      </c>
      <c r="U159" s="157">
        <v>0.001543</v>
      </c>
      <c r="V159" s="157">
        <v>-0.0514</v>
      </c>
      <c r="W159" s="157">
        <v>-0.02714</v>
      </c>
      <c r="X159" s="157">
        <v>-0.00698</v>
      </c>
      <c r="Y159" s="158">
        <v>-0.06102</v>
      </c>
      <c r="Z159" s="65"/>
      <c r="AA159" s="65"/>
    </row>
    <row r="160">
      <c r="N160" s="128" t="s">
        <v>81</v>
      </c>
      <c r="O160" s="155">
        <v>-0.06798</v>
      </c>
      <c r="P160" s="157">
        <v>-0.0875</v>
      </c>
      <c r="Q160" s="157">
        <v>-0.02775</v>
      </c>
      <c r="R160" s="157">
        <v>0.173376</v>
      </c>
      <c r="S160" s="157">
        <v>0.026557</v>
      </c>
      <c r="T160" s="157">
        <v>-0.01702</v>
      </c>
      <c r="U160" s="157">
        <v>-0.04507</v>
      </c>
      <c r="V160" s="157">
        <v>0.105388</v>
      </c>
      <c r="W160" s="157">
        <v>0.030833</v>
      </c>
      <c r="X160" s="157">
        <v>0.022629</v>
      </c>
      <c r="Y160" s="158">
        <v>-0.02712</v>
      </c>
      <c r="Z160" s="65"/>
      <c r="AA160" s="65"/>
    </row>
    <row r="161">
      <c r="N161" s="128" t="s">
        <v>87</v>
      </c>
      <c r="O161" s="155">
        <v>0.001861</v>
      </c>
      <c r="P161" s="157">
        <v>-0.04198</v>
      </c>
      <c r="Q161" s="157">
        <v>-0.08874</v>
      </c>
      <c r="R161" s="157">
        <v>0.026557</v>
      </c>
      <c r="S161" s="157">
        <v>0.14874</v>
      </c>
      <c r="T161" s="157">
        <v>-0.03562</v>
      </c>
      <c r="U161" s="157">
        <v>-0.00193</v>
      </c>
      <c r="V161" s="157">
        <v>0.058268</v>
      </c>
      <c r="W161" s="157">
        <v>0.063837</v>
      </c>
      <c r="X161" s="157">
        <v>-0.02775</v>
      </c>
      <c r="Y161" s="158">
        <v>-0.02318</v>
      </c>
      <c r="Z161" s="65"/>
      <c r="AA161" s="65"/>
    </row>
    <row r="162">
      <c r="N162" s="128" t="s">
        <v>86</v>
      </c>
      <c r="O162" s="155">
        <v>-0.00513</v>
      </c>
      <c r="P162" s="157">
        <v>0.027703</v>
      </c>
      <c r="Q162" s="157">
        <v>-0.01138</v>
      </c>
      <c r="R162" s="157">
        <v>-0.01702</v>
      </c>
      <c r="S162" s="157">
        <v>-0.03562</v>
      </c>
      <c r="T162" s="157">
        <v>0.132329</v>
      </c>
      <c r="U162" s="157">
        <v>-0.02594</v>
      </c>
      <c r="V162" s="157">
        <v>-0.00407</v>
      </c>
      <c r="W162" s="157">
        <v>-0.04314</v>
      </c>
      <c r="X162" s="157">
        <v>-0.01409</v>
      </c>
      <c r="Y162" s="158">
        <v>-0.05625</v>
      </c>
      <c r="Z162" s="65"/>
      <c r="AA162" s="65"/>
    </row>
    <row r="163">
      <c r="N163" s="128" t="s">
        <v>82</v>
      </c>
      <c r="O163" s="155">
        <v>-0.02944</v>
      </c>
      <c r="P163" s="157">
        <v>-0.07076</v>
      </c>
      <c r="Q163" s="157">
        <v>0.001543</v>
      </c>
      <c r="R163" s="157">
        <v>-0.04507</v>
      </c>
      <c r="S163" s="157">
        <v>-0.00193</v>
      </c>
      <c r="T163" s="157">
        <v>-0.02594</v>
      </c>
      <c r="U163" s="157">
        <v>0.367533</v>
      </c>
      <c r="V163" s="157">
        <v>0.141681</v>
      </c>
      <c r="W163" s="157">
        <v>-0.18285</v>
      </c>
      <c r="X163" s="157">
        <v>-0.11799</v>
      </c>
      <c r="Y163" s="158">
        <v>0.039396</v>
      </c>
      <c r="Z163" s="65"/>
      <c r="AA163" s="65"/>
    </row>
    <row r="164">
      <c r="N164" s="128" t="s">
        <v>95</v>
      </c>
      <c r="O164" s="155">
        <v>-0.04376</v>
      </c>
      <c r="P164" s="157">
        <v>-0.12674</v>
      </c>
      <c r="Q164" s="157">
        <v>-0.0514</v>
      </c>
      <c r="R164" s="157">
        <v>0.105388</v>
      </c>
      <c r="S164" s="157">
        <v>0.058268</v>
      </c>
      <c r="T164" s="157">
        <v>-0.00407</v>
      </c>
      <c r="U164" s="157">
        <v>0.141681</v>
      </c>
      <c r="V164" s="157">
        <v>0.166172</v>
      </c>
      <c r="W164" s="157">
        <v>-0.04798</v>
      </c>
      <c r="X164" s="157">
        <v>-0.06494</v>
      </c>
      <c r="Y164" s="158">
        <v>-0.01876</v>
      </c>
      <c r="Z164" s="65"/>
      <c r="AA164" s="65"/>
    </row>
    <row r="165">
      <c r="N165" s="128" t="s">
        <v>83</v>
      </c>
      <c r="O165" s="155">
        <v>0.025577</v>
      </c>
      <c r="P165" s="157">
        <v>-0.00433</v>
      </c>
      <c r="Q165" s="157">
        <v>-0.02714</v>
      </c>
      <c r="R165" s="157">
        <v>0.030833</v>
      </c>
      <c r="S165" s="157">
        <v>0.063837</v>
      </c>
      <c r="T165" s="157">
        <v>-0.04314</v>
      </c>
      <c r="U165" s="157">
        <v>-0.18285</v>
      </c>
      <c r="V165" s="157">
        <v>-0.04798</v>
      </c>
      <c r="W165" s="157">
        <v>0.302703</v>
      </c>
      <c r="X165" s="157">
        <v>-0.10823</v>
      </c>
      <c r="Y165" s="158">
        <v>0.034424</v>
      </c>
      <c r="Z165" s="65"/>
      <c r="AA165" s="65"/>
    </row>
    <row r="166">
      <c r="N166" s="128" t="s">
        <v>84</v>
      </c>
      <c r="O166" s="155">
        <v>-0.00982</v>
      </c>
      <c r="P166" s="157">
        <v>0.056369</v>
      </c>
      <c r="Q166" s="157">
        <v>-0.00698</v>
      </c>
      <c r="R166" s="157">
        <v>0.022629</v>
      </c>
      <c r="S166" s="157">
        <v>-0.02775</v>
      </c>
      <c r="T166" s="157">
        <v>-0.01409</v>
      </c>
      <c r="U166" s="157">
        <v>-0.11799</v>
      </c>
      <c r="V166" s="157">
        <v>-0.06494</v>
      </c>
      <c r="W166" s="157">
        <v>-0.10823</v>
      </c>
      <c r="X166" s="157">
        <v>0.218468</v>
      </c>
      <c r="Y166" s="158">
        <v>-0.00888</v>
      </c>
      <c r="Z166" s="65"/>
      <c r="AA166" s="65"/>
    </row>
    <row r="167">
      <c r="N167" s="128" t="s">
        <v>90</v>
      </c>
      <c r="O167" s="168">
        <v>0.001299</v>
      </c>
      <c r="P167" s="162">
        <v>0.013895</v>
      </c>
      <c r="Q167" s="162">
        <v>-0.06102</v>
      </c>
      <c r="R167" s="162">
        <v>-0.02712</v>
      </c>
      <c r="S167" s="162">
        <v>-0.02318</v>
      </c>
      <c r="T167" s="162">
        <v>-0.05625</v>
      </c>
      <c r="U167" s="162">
        <v>0.039396</v>
      </c>
      <c r="V167" s="162">
        <v>-0.01876</v>
      </c>
      <c r="W167" s="162">
        <v>0.034424</v>
      </c>
      <c r="X167" s="162">
        <v>-0.00888</v>
      </c>
      <c r="Y167" s="163">
        <v>0.134827</v>
      </c>
      <c r="Z167" s="65"/>
      <c r="AA167" s="65"/>
    </row>
    <row r="168"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N169" s="128" t="s">
        <v>52</v>
      </c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N171" s="65"/>
      <c r="O171" s="127">
        <v>1.0</v>
      </c>
      <c r="P171" s="127">
        <v>2.0</v>
      </c>
      <c r="Q171" s="127">
        <v>3.0</v>
      </c>
      <c r="R171" s="127">
        <v>4.0</v>
      </c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N172" s="128" t="s">
        <v>93</v>
      </c>
      <c r="O172" s="151">
        <v>0.065999</v>
      </c>
      <c r="P172" s="153">
        <v>-0.42943</v>
      </c>
      <c r="Q172" s="153">
        <v>-0.0281</v>
      </c>
      <c r="R172" s="154">
        <v>0.053534</v>
      </c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N173" s="128" t="s">
        <v>80</v>
      </c>
      <c r="O173" s="155">
        <v>0.051793</v>
      </c>
      <c r="P173" s="157">
        <v>-0.39081</v>
      </c>
      <c r="Q173" s="157">
        <v>-0.00323</v>
      </c>
      <c r="R173" s="158">
        <v>0.144386</v>
      </c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N174" s="128" t="s">
        <v>94</v>
      </c>
      <c r="O174" s="155">
        <v>-0.31652</v>
      </c>
      <c r="P174" s="157">
        <v>0.06638</v>
      </c>
      <c r="Q174" s="157">
        <v>0.013615</v>
      </c>
      <c r="R174" s="158">
        <v>0.169536</v>
      </c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N175" s="128" t="s">
        <v>81</v>
      </c>
      <c r="O175" s="155">
        <v>0.024354</v>
      </c>
      <c r="P175" s="157">
        <v>-0.37233</v>
      </c>
      <c r="Q175" s="157">
        <v>0.016333</v>
      </c>
      <c r="R175" s="158">
        <v>-0.40356</v>
      </c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N176" s="128" t="s">
        <v>87</v>
      </c>
      <c r="O176" s="155">
        <v>-0.29663</v>
      </c>
      <c r="P176" s="157">
        <v>0.0368</v>
      </c>
      <c r="Q176" s="157">
        <v>0.087889</v>
      </c>
      <c r="R176" s="158">
        <v>-0.07695</v>
      </c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N177" s="128" t="s">
        <v>86</v>
      </c>
      <c r="O177" s="155">
        <v>-0.21251</v>
      </c>
      <c r="P177" s="157">
        <v>0.042218</v>
      </c>
      <c r="Q177" s="157">
        <v>-0.1559</v>
      </c>
      <c r="R177" s="158">
        <v>-0.02083</v>
      </c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N178" s="128" t="s">
        <v>82</v>
      </c>
      <c r="O178" s="155">
        <v>0.107931</v>
      </c>
      <c r="P178" s="157">
        <v>-0.12244</v>
      </c>
      <c r="Q178" s="157">
        <v>-0.3503</v>
      </c>
      <c r="R178" s="158">
        <v>-0.24832</v>
      </c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N179" s="128" t="s">
        <v>95</v>
      </c>
      <c r="O179" s="155">
        <v>-0.06551</v>
      </c>
      <c r="P179" s="157">
        <v>-0.02813</v>
      </c>
      <c r="Q179" s="157">
        <v>-0.00388</v>
      </c>
      <c r="R179" s="160">
        <v>0.75678</v>
      </c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N180" s="128" t="s">
        <v>83</v>
      </c>
      <c r="O180" s="155">
        <v>0.088889</v>
      </c>
      <c r="P180" s="157">
        <v>0.010308</v>
      </c>
      <c r="Q180" s="157">
        <v>-0.40495</v>
      </c>
      <c r="R180" s="158">
        <v>0.069748</v>
      </c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N181" s="128" t="s">
        <v>84</v>
      </c>
      <c r="O181" s="155">
        <v>-0.00571</v>
      </c>
      <c r="P181" s="157">
        <v>0.062548</v>
      </c>
      <c r="Q181" s="157">
        <v>-0.38585</v>
      </c>
      <c r="R181" s="158">
        <v>0.131803</v>
      </c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N182" s="128" t="s">
        <v>90</v>
      </c>
      <c r="O182" s="168">
        <v>-0.34772</v>
      </c>
      <c r="P182" s="162">
        <v>0.056849</v>
      </c>
      <c r="Q182" s="162">
        <v>0.139904</v>
      </c>
      <c r="R182" s="163">
        <v>0.126976</v>
      </c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N184" s="128" t="s">
        <v>53</v>
      </c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N186" s="65"/>
      <c r="O186" s="127">
        <v>1.0</v>
      </c>
      <c r="P186" s="127">
        <v>2.0</v>
      </c>
      <c r="Q186" s="127">
        <v>3.0</v>
      </c>
      <c r="R186" s="127">
        <v>4.0</v>
      </c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N187" s="128" t="s">
        <v>93</v>
      </c>
      <c r="O187" s="151">
        <v>0.07836</v>
      </c>
      <c r="P187" s="153">
        <v>-0.4969</v>
      </c>
      <c r="Q187" s="153">
        <v>-0.05099</v>
      </c>
      <c r="R187" s="154">
        <v>0.053577</v>
      </c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N188" s="128" t="s">
        <v>80</v>
      </c>
      <c r="O188" s="155">
        <v>0.0402</v>
      </c>
      <c r="P188" s="157">
        <v>-0.30938</v>
      </c>
      <c r="Q188" s="157">
        <v>-0.00593</v>
      </c>
      <c r="R188" s="158">
        <v>0.106143</v>
      </c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N189" s="128" t="s">
        <v>94</v>
      </c>
      <c r="O189" s="155">
        <v>-0.28107</v>
      </c>
      <c r="P189" s="157">
        <v>0.063613</v>
      </c>
      <c r="Q189" s="157">
        <v>0.010263</v>
      </c>
      <c r="R189" s="158">
        <v>0.173026</v>
      </c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N190" s="128" t="s">
        <v>81</v>
      </c>
      <c r="O190" s="155">
        <v>0.04095</v>
      </c>
      <c r="P190" s="157">
        <v>-0.40018</v>
      </c>
      <c r="Q190" s="157">
        <v>0.00351</v>
      </c>
      <c r="R190" s="158">
        <v>-0.41263</v>
      </c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N191" s="128" t="s">
        <v>87</v>
      </c>
      <c r="O191" s="155">
        <v>-0.29782</v>
      </c>
      <c r="P191" s="157">
        <v>0.038405</v>
      </c>
      <c r="Q191" s="157">
        <v>0.129923</v>
      </c>
      <c r="R191" s="158">
        <v>-0.09332</v>
      </c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N192" s="128" t="s">
        <v>86</v>
      </c>
      <c r="O192" s="155">
        <v>-0.20555</v>
      </c>
      <c r="P192" s="157">
        <v>0.039048</v>
      </c>
      <c r="Q192" s="157">
        <v>-0.31275</v>
      </c>
      <c r="R192" s="158">
        <v>-0.0469</v>
      </c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N193" s="128" t="s">
        <v>82</v>
      </c>
      <c r="O193" s="155">
        <v>0.067579</v>
      </c>
      <c r="P193" s="157">
        <v>-0.06887</v>
      </c>
      <c r="Q193" s="157">
        <v>-0.24385</v>
      </c>
      <c r="R193" s="158">
        <v>-0.12856</v>
      </c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N194" s="128" t="s">
        <v>95</v>
      </c>
      <c r="O194" s="155">
        <v>-0.07258</v>
      </c>
      <c r="P194" s="157">
        <v>-0.03247</v>
      </c>
      <c r="Q194" s="157">
        <v>0.012855</v>
      </c>
      <c r="R194" s="160">
        <v>0.800293</v>
      </c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N195" s="128" t="s">
        <v>83</v>
      </c>
      <c r="O195" s="155">
        <v>0.070066</v>
      </c>
      <c r="P195" s="157">
        <v>-0.00329</v>
      </c>
      <c r="Q195" s="157">
        <v>-0.33507</v>
      </c>
      <c r="R195" s="158">
        <v>0.027704</v>
      </c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N196" s="128" t="s">
        <v>84</v>
      </c>
      <c r="O196" s="155">
        <v>0.030566</v>
      </c>
      <c r="P196" s="157">
        <v>0.038206</v>
      </c>
      <c r="Q196" s="157">
        <v>-0.44355</v>
      </c>
      <c r="R196" s="158">
        <v>0.087893</v>
      </c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N197" s="128" t="s">
        <v>90</v>
      </c>
      <c r="O197" s="168">
        <v>-0.39805</v>
      </c>
      <c r="P197" s="162">
        <v>0.07168</v>
      </c>
      <c r="Q197" s="162">
        <v>0.246011</v>
      </c>
      <c r="R197" s="163">
        <v>0.166316</v>
      </c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N199" s="128" t="s">
        <v>54</v>
      </c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N201" s="65"/>
      <c r="O201" s="165">
        <v>520.7769</v>
      </c>
      <c r="P201" s="166">
        <v>144.0851</v>
      </c>
      <c r="Q201" s="166">
        <v>140.2473</v>
      </c>
      <c r="R201" s="171">
        <v>74.61597</v>
      </c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N202" s="65"/>
      <c r="O202" s="167">
        <v>144.0851</v>
      </c>
      <c r="P202" s="127">
        <v>159.5186</v>
      </c>
      <c r="Q202" s="127">
        <v>23.26322</v>
      </c>
      <c r="R202" s="172">
        <v>-2.54116</v>
      </c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N203" s="65"/>
      <c r="O203" s="167">
        <v>140.2473</v>
      </c>
      <c r="P203" s="127">
        <v>23.26322</v>
      </c>
      <c r="Q203" s="127">
        <v>104.6148</v>
      </c>
      <c r="R203" s="160">
        <v>16.55552</v>
      </c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N204" s="65"/>
      <c r="O204" s="173">
        <v>74.61597</v>
      </c>
      <c r="P204" s="174">
        <v>-2.54116</v>
      </c>
      <c r="Q204" s="169">
        <v>16.55552</v>
      </c>
      <c r="R204" s="170">
        <v>55.26688</v>
      </c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N206" s="65"/>
      <c r="O206" s="127">
        <v>1.0</v>
      </c>
      <c r="P206" s="127">
        <v>2.0</v>
      </c>
      <c r="Q206" s="127">
        <v>3.0</v>
      </c>
      <c r="R206" s="127">
        <v>4.0</v>
      </c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N207" s="128" t="s">
        <v>93</v>
      </c>
      <c r="O207" s="151">
        <v>0.07772</v>
      </c>
      <c r="P207" s="153">
        <v>-0.49558</v>
      </c>
      <c r="Q207" s="153">
        <v>-0.05022</v>
      </c>
      <c r="R207" s="154">
        <v>0.054243</v>
      </c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N208" s="128" t="s">
        <v>80</v>
      </c>
      <c r="O208" s="155">
        <v>0.040058</v>
      </c>
      <c r="P208" s="157">
        <v>-0.30872</v>
      </c>
      <c r="Q208" s="157">
        <v>-0.00598</v>
      </c>
      <c r="R208" s="158">
        <v>0.105933</v>
      </c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N209" s="128" t="s">
        <v>94</v>
      </c>
      <c r="O209" s="155">
        <v>-0.28025</v>
      </c>
      <c r="P209" s="157">
        <v>0.062939</v>
      </c>
      <c r="Q209" s="157">
        <v>0.008881</v>
      </c>
      <c r="R209" s="158">
        <v>0.171371</v>
      </c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N210" s="128" t="s">
        <v>81</v>
      </c>
      <c r="O210" s="155">
        <v>0.039621</v>
      </c>
      <c r="P210" s="157">
        <v>-0.3985</v>
      </c>
      <c r="Q210" s="157">
        <v>0.005447</v>
      </c>
      <c r="R210" s="158">
        <v>-0.40935</v>
      </c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N211" s="128" t="s">
        <v>87</v>
      </c>
      <c r="O211" s="155">
        <v>-0.29718</v>
      </c>
      <c r="P211" s="157">
        <v>0.03799</v>
      </c>
      <c r="Q211" s="157">
        <v>0.128514</v>
      </c>
      <c r="R211" s="158">
        <v>-0.09383</v>
      </c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N212" s="128" t="s">
        <v>86</v>
      </c>
      <c r="O212" s="155">
        <v>-0.20642</v>
      </c>
      <c r="P212" s="157">
        <v>0.039387</v>
      </c>
      <c r="Q212" s="157">
        <v>-0.31032</v>
      </c>
      <c r="R212" s="158">
        <v>-0.0453</v>
      </c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N213" s="128" t="s">
        <v>82</v>
      </c>
      <c r="O213" s="155">
        <v>0.066322</v>
      </c>
      <c r="P213" s="157">
        <v>-0.06803</v>
      </c>
      <c r="Q213" s="157">
        <v>-0.24106</v>
      </c>
      <c r="R213" s="158">
        <v>-0.12627</v>
      </c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N214" s="128" t="s">
        <v>95</v>
      </c>
      <c r="O214" s="155">
        <v>-0.07073</v>
      </c>
      <c r="P214" s="157">
        <v>-0.0337</v>
      </c>
      <c r="Q214" s="157">
        <v>0.009543</v>
      </c>
      <c r="R214" s="160">
        <v>0.7949</v>
      </c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N215" s="128" t="s">
        <v>83</v>
      </c>
      <c r="O215" s="155">
        <v>0.068901</v>
      </c>
      <c r="P215" s="157">
        <v>-0.00269</v>
      </c>
      <c r="Q215" s="157">
        <v>-0.33213</v>
      </c>
      <c r="R215" s="158">
        <v>0.029351</v>
      </c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N216" s="128" t="s">
        <v>84</v>
      </c>
      <c r="O216" s="155">
        <v>0.029255</v>
      </c>
      <c r="P216" s="157">
        <v>0.038751</v>
      </c>
      <c r="Q216" s="157">
        <v>-0.44002</v>
      </c>
      <c r="R216" s="158">
        <v>0.089596</v>
      </c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N217" s="128" t="s">
        <v>90</v>
      </c>
      <c r="O217" s="168">
        <v>-0.39629</v>
      </c>
      <c r="P217" s="162">
        <v>0.070501</v>
      </c>
      <c r="Q217" s="162">
        <v>0.242369</v>
      </c>
      <c r="R217" s="163">
        <v>0.163319</v>
      </c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</sheetData>
  <mergeCells count="19">
    <mergeCell ref="Y3:Z3"/>
    <mergeCell ref="N9:O9"/>
    <mergeCell ref="Y11:Z11"/>
    <mergeCell ref="N25:P25"/>
    <mergeCell ref="Y27:Z27"/>
    <mergeCell ref="N40:P40"/>
    <mergeCell ref="Y42:Z42"/>
    <mergeCell ref="Y141:Z141"/>
    <mergeCell ref="Y156:Z156"/>
    <mergeCell ref="N169:Q169"/>
    <mergeCell ref="N184:Q184"/>
    <mergeCell ref="N199:R199"/>
    <mergeCell ref="Y58:Z58"/>
    <mergeCell ref="N61:P61"/>
    <mergeCell ref="N76:O76"/>
    <mergeCell ref="N107:P107"/>
    <mergeCell ref="N123:P123"/>
    <mergeCell ref="N139:P139"/>
    <mergeCell ref="N154:O1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/>
      <c r="B1" s="175" t="s">
        <v>193</v>
      </c>
      <c r="C1" s="175" t="s">
        <v>194</v>
      </c>
      <c r="D1" s="176" t="s">
        <v>195</v>
      </c>
      <c r="E1" s="176" t="s">
        <v>196</v>
      </c>
      <c r="F1" s="65"/>
      <c r="G1" s="177" t="s">
        <v>197</v>
      </c>
      <c r="H1" s="65"/>
      <c r="I1" s="65"/>
      <c r="J1" s="178"/>
      <c r="K1" s="179" t="s">
        <v>198</v>
      </c>
      <c r="L1" s="65"/>
      <c r="M1" s="178"/>
      <c r="N1" s="178"/>
      <c r="O1" s="180" t="s">
        <v>199</v>
      </c>
      <c r="P1" s="178"/>
      <c r="Q1" s="178"/>
      <c r="R1" s="65"/>
      <c r="S1" s="181" t="s">
        <v>200</v>
      </c>
      <c r="T1" s="178"/>
      <c r="U1" s="178"/>
      <c r="V1" s="65"/>
    </row>
    <row r="2">
      <c r="A2" s="128" t="s">
        <v>93</v>
      </c>
      <c r="B2" s="182">
        <v>-0.08454</v>
      </c>
      <c r="C2" s="183">
        <v>-0.8989</v>
      </c>
      <c r="D2" s="184">
        <v>-0.0316</v>
      </c>
      <c r="E2" s="185">
        <v>0.151251</v>
      </c>
      <c r="F2" s="65"/>
      <c r="G2" s="186"/>
      <c r="H2" s="186"/>
      <c r="I2" s="187" t="s">
        <v>201</v>
      </c>
      <c r="J2" s="178"/>
      <c r="K2" s="178"/>
      <c r="L2" s="178"/>
      <c r="M2" s="188" t="s">
        <v>202</v>
      </c>
      <c r="N2" s="178"/>
      <c r="O2" s="178"/>
      <c r="P2" s="178"/>
      <c r="Q2" s="189" t="s">
        <v>203</v>
      </c>
      <c r="R2" s="65"/>
      <c r="S2" s="178"/>
      <c r="T2" s="178"/>
      <c r="U2" s="178"/>
      <c r="V2" s="65"/>
    </row>
    <row r="3">
      <c r="A3" s="128" t="s">
        <v>80</v>
      </c>
      <c r="B3" s="182">
        <v>-0.04779</v>
      </c>
      <c r="C3" s="183">
        <v>-0.83652</v>
      </c>
      <c r="D3" s="184">
        <v>0.022135</v>
      </c>
      <c r="E3" s="185">
        <v>0.250583</v>
      </c>
      <c r="F3" s="65"/>
      <c r="G3" s="186"/>
      <c r="H3" s="190"/>
      <c r="I3" s="186"/>
      <c r="J3" s="178"/>
      <c r="K3" s="178"/>
      <c r="L3" s="191"/>
      <c r="M3" s="178"/>
      <c r="N3" s="178"/>
      <c r="O3" s="178"/>
      <c r="P3" s="192"/>
      <c r="Q3" s="178"/>
      <c r="R3" s="65"/>
      <c r="S3" s="178"/>
      <c r="T3" s="178"/>
      <c r="U3" s="178"/>
      <c r="V3" s="65"/>
    </row>
    <row r="4">
      <c r="A4" s="128" t="s">
        <v>94</v>
      </c>
      <c r="B4" s="193">
        <v>-0.88669</v>
      </c>
      <c r="C4" s="184">
        <v>-0.09826</v>
      </c>
      <c r="D4" s="184">
        <v>-0.1841</v>
      </c>
      <c r="E4" s="185">
        <v>0.064503</v>
      </c>
      <c r="F4" s="65"/>
      <c r="G4" s="194" t="s">
        <v>193</v>
      </c>
      <c r="H4" s="186"/>
      <c r="I4" s="195" t="s">
        <v>204</v>
      </c>
      <c r="J4" s="178"/>
      <c r="K4" s="196" t="s">
        <v>205</v>
      </c>
      <c r="L4" s="178"/>
      <c r="M4" s="188" t="s">
        <v>206</v>
      </c>
      <c r="N4" s="178"/>
      <c r="O4" s="197" t="s">
        <v>195</v>
      </c>
      <c r="P4" s="198"/>
      <c r="Q4" s="199" t="s">
        <v>207</v>
      </c>
      <c r="R4" s="65"/>
      <c r="S4" s="200" t="s">
        <v>208</v>
      </c>
      <c r="T4" s="198"/>
      <c r="U4" s="201" t="s">
        <v>209</v>
      </c>
      <c r="V4" s="65"/>
    </row>
    <row r="5">
      <c r="A5" s="128" t="s">
        <v>81</v>
      </c>
      <c r="B5" s="182">
        <v>-0.33367</v>
      </c>
      <c r="C5" s="183">
        <v>-0.73498</v>
      </c>
      <c r="D5" s="184">
        <v>0.00463</v>
      </c>
      <c r="E5" s="185">
        <v>-0.41842</v>
      </c>
      <c r="F5" s="65"/>
      <c r="G5" s="186"/>
      <c r="H5" s="202"/>
      <c r="I5" s="186"/>
      <c r="J5" s="178"/>
      <c r="K5" s="178"/>
      <c r="L5" s="203"/>
      <c r="M5" s="178"/>
      <c r="N5" s="178"/>
      <c r="O5" s="178"/>
      <c r="P5" s="204"/>
      <c r="Q5" s="178"/>
      <c r="R5" s="65"/>
      <c r="S5" s="178"/>
      <c r="T5" s="178"/>
      <c r="U5" s="178"/>
      <c r="V5" s="65"/>
    </row>
    <row r="6">
      <c r="A6" s="128" t="s">
        <v>87</v>
      </c>
      <c r="B6" s="193">
        <v>-0.89072</v>
      </c>
      <c r="C6" s="184">
        <v>-0.10956</v>
      </c>
      <c r="D6" s="184">
        <v>-0.02503</v>
      </c>
      <c r="E6" s="185">
        <v>-0.21271</v>
      </c>
      <c r="F6" s="65"/>
      <c r="G6" s="186"/>
      <c r="H6" s="205"/>
      <c r="I6" s="195" t="s">
        <v>210</v>
      </c>
      <c r="J6" s="178"/>
      <c r="K6" s="178"/>
      <c r="L6" s="178"/>
      <c r="M6" s="188" t="s">
        <v>211</v>
      </c>
      <c r="N6" s="178"/>
      <c r="O6" s="178"/>
      <c r="P6" s="178"/>
      <c r="Q6" s="199" t="s">
        <v>212</v>
      </c>
      <c r="R6" s="65"/>
      <c r="S6" s="178"/>
      <c r="T6" s="178"/>
      <c r="U6" s="178"/>
      <c r="V6" s="65"/>
    </row>
    <row r="7">
      <c r="A7" s="128" t="s">
        <v>86</v>
      </c>
      <c r="B7" s="193">
        <v>-0.7725</v>
      </c>
      <c r="C7" s="184">
        <v>-0.05982</v>
      </c>
      <c r="D7" s="184">
        <v>-0.50035</v>
      </c>
      <c r="E7" s="185">
        <v>-0.1303</v>
      </c>
      <c r="F7" s="65"/>
      <c r="G7" s="186"/>
      <c r="H7" s="202"/>
      <c r="I7" s="186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65"/>
    </row>
    <row r="8">
      <c r="A8" s="206" t="s">
        <v>213</v>
      </c>
      <c r="B8" s="182">
        <v>-0.09679</v>
      </c>
      <c r="C8" s="184">
        <v>-0.17355</v>
      </c>
      <c r="D8" s="183">
        <v>-0.72403</v>
      </c>
      <c r="E8" s="185">
        <v>-0.26222</v>
      </c>
      <c r="F8" s="65"/>
      <c r="G8" s="186"/>
      <c r="H8" s="186"/>
      <c r="I8" s="195" t="s">
        <v>214</v>
      </c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65"/>
    </row>
    <row r="9">
      <c r="A9" s="128" t="s">
        <v>88</v>
      </c>
      <c r="B9" s="182">
        <v>0.079186</v>
      </c>
      <c r="C9" s="184">
        <v>-0.21629</v>
      </c>
      <c r="D9" s="184">
        <v>6.78E-5</v>
      </c>
      <c r="E9" s="207">
        <v>0.883615</v>
      </c>
      <c r="F9" s="65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65"/>
    </row>
    <row r="10">
      <c r="A10" s="128" t="s">
        <v>83</v>
      </c>
      <c r="B10" s="182">
        <v>0.025059</v>
      </c>
      <c r="C10" s="184">
        <v>0.053702</v>
      </c>
      <c r="D10" s="183">
        <v>-0.82831</v>
      </c>
      <c r="E10" s="185">
        <v>0.087671</v>
      </c>
      <c r="F10" s="65"/>
      <c r="G10" s="208"/>
      <c r="V10" s="65"/>
    </row>
    <row r="11">
      <c r="A11" s="128" t="s">
        <v>84</v>
      </c>
      <c r="B11" s="182">
        <v>-0.20191</v>
      </c>
      <c r="C11" s="184">
        <v>0.094012</v>
      </c>
      <c r="D11" s="183">
        <v>-0.84748</v>
      </c>
      <c r="E11" s="185">
        <v>0.117052</v>
      </c>
      <c r="F11" s="65"/>
      <c r="G11" s="208"/>
      <c r="V11" s="65"/>
    </row>
    <row r="12">
      <c r="A12" s="128" t="s">
        <v>90</v>
      </c>
      <c r="B12" s="209">
        <v>-0.91855</v>
      </c>
      <c r="C12" s="210">
        <v>-0.12816</v>
      </c>
      <c r="D12" s="210">
        <v>0.069785</v>
      </c>
      <c r="E12" s="211">
        <v>0.011713</v>
      </c>
      <c r="F12" s="65"/>
      <c r="G12" s="208"/>
      <c r="V12" s="65"/>
    </row>
    <row r="13">
      <c r="A13" s="65"/>
      <c r="B13" s="212">
        <v>3.19791</v>
      </c>
      <c r="C13" s="212">
        <v>2.178267</v>
      </c>
      <c r="D13" s="212">
        <v>2.219796</v>
      </c>
      <c r="E13" s="212">
        <v>1.198185</v>
      </c>
      <c r="F13" s="65"/>
      <c r="G13" s="208"/>
      <c r="V13" s="65"/>
    </row>
    <row r="14">
      <c r="A14" s="65"/>
      <c r="B14" s="213"/>
      <c r="C14" s="213"/>
      <c r="D14" s="213"/>
      <c r="E14" s="213"/>
      <c r="F14" s="65"/>
      <c r="G14" s="208"/>
      <c r="V14" s="65"/>
    </row>
    <row r="15">
      <c r="A15" s="65"/>
      <c r="B15" s="213"/>
      <c r="C15" s="213"/>
      <c r="D15" s="213"/>
      <c r="E15" s="213"/>
      <c r="F15" s="65"/>
      <c r="G15" s="208"/>
      <c r="V15" s="65"/>
    </row>
    <row r="16">
      <c r="A16" s="65"/>
      <c r="B16" s="213"/>
      <c r="C16" s="213"/>
      <c r="D16" s="213"/>
      <c r="E16" s="213"/>
      <c r="F16" s="65"/>
      <c r="G16" s="208"/>
      <c r="V16" s="65"/>
    </row>
    <row r="17">
      <c r="A17" s="65"/>
      <c r="B17" s="213"/>
      <c r="C17" s="213"/>
      <c r="D17" s="213"/>
      <c r="E17" s="213"/>
      <c r="F17" s="65"/>
      <c r="G17" s="208"/>
      <c r="V17" s="65"/>
    </row>
    <row r="18">
      <c r="A18" s="65"/>
      <c r="B18" s="213"/>
      <c r="C18" s="213"/>
      <c r="D18" s="213"/>
      <c r="E18" s="213"/>
      <c r="F18" s="65"/>
      <c r="G18" s="65"/>
      <c r="V18" s="65"/>
    </row>
    <row r="19">
      <c r="A19" s="65"/>
      <c r="B19" s="213"/>
      <c r="C19" s="213"/>
      <c r="D19" s="213"/>
      <c r="E19" s="213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</row>
    <row r="20">
      <c r="A20" s="65"/>
      <c r="B20" s="213"/>
      <c r="C20" s="213"/>
      <c r="D20" s="213"/>
      <c r="E20" s="213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</row>
    <row r="21">
      <c r="A21" s="65"/>
      <c r="B21" s="213"/>
      <c r="C21" s="213"/>
      <c r="D21" s="213"/>
      <c r="E21" s="213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</row>
    <row r="22">
      <c r="A22" s="65"/>
      <c r="B22" s="213"/>
      <c r="C22" s="213"/>
      <c r="D22" s="213"/>
      <c r="E22" s="213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</row>
    <row r="23">
      <c r="A23" s="65"/>
      <c r="B23" s="213"/>
      <c r="C23" s="213"/>
      <c r="D23" s="213"/>
      <c r="E23" s="213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</row>
    <row r="24">
      <c r="A24" s="65"/>
      <c r="B24" s="213"/>
      <c r="C24" s="213"/>
      <c r="D24" s="213"/>
      <c r="E24" s="213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</row>
    <row r="25">
      <c r="A25" s="65"/>
      <c r="B25" s="213"/>
      <c r="C25" s="213"/>
      <c r="D25" s="213"/>
      <c r="E25" s="213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</row>
    <row r="26">
      <c r="A26" s="65"/>
      <c r="B26" s="213"/>
      <c r="C26" s="213"/>
      <c r="D26" s="213"/>
      <c r="E26" s="213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</row>
    <row r="27">
      <c r="A27" s="65"/>
      <c r="B27" s="213"/>
      <c r="C27" s="213"/>
      <c r="D27" s="213"/>
      <c r="E27" s="213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</row>
    <row r="28">
      <c r="A28" s="65"/>
      <c r="B28" s="213"/>
      <c r="C28" s="213"/>
      <c r="D28" s="213"/>
      <c r="E28" s="213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</row>
    <row r="29">
      <c r="A29" s="65"/>
      <c r="B29" s="213"/>
      <c r="C29" s="213"/>
      <c r="D29" s="213"/>
      <c r="E29" s="213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</row>
    <row r="30">
      <c r="A30" s="65"/>
      <c r="B30" s="213"/>
      <c r="C30" s="213"/>
      <c r="D30" s="213"/>
      <c r="E30" s="213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</row>
    <row r="31">
      <c r="A31" s="65"/>
      <c r="B31" s="213"/>
      <c r="C31" s="213"/>
      <c r="D31" s="213"/>
      <c r="E31" s="213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</row>
    <row r="32">
      <c r="A32" s="65"/>
      <c r="B32" s="213"/>
      <c r="C32" s="213"/>
      <c r="D32" s="213"/>
      <c r="E32" s="213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</row>
    <row r="33">
      <c r="A33" s="65"/>
      <c r="B33" s="213"/>
      <c r="C33" s="213"/>
      <c r="D33" s="213"/>
      <c r="E33" s="213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</row>
    <row r="34">
      <c r="A34" s="65"/>
      <c r="B34" s="213"/>
      <c r="C34" s="213"/>
      <c r="D34" s="213"/>
      <c r="E34" s="213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</row>
    <row r="35">
      <c r="A35" s="65"/>
      <c r="B35" s="213"/>
      <c r="C35" s="213"/>
      <c r="D35" s="213"/>
      <c r="E35" s="213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</row>
    <row r="36">
      <c r="A36" s="65"/>
      <c r="B36" s="213"/>
      <c r="C36" s="213"/>
      <c r="D36" s="213"/>
      <c r="E36" s="213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</row>
    <row r="37">
      <c r="A37" s="65"/>
      <c r="B37" s="213"/>
      <c r="C37" s="213"/>
      <c r="D37" s="213"/>
      <c r="E37" s="213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</row>
    <row r="38">
      <c r="A38" s="65"/>
      <c r="B38" s="213"/>
      <c r="C38" s="213"/>
      <c r="D38" s="213"/>
      <c r="E38" s="213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</row>
    <row r="39">
      <c r="A39" s="65"/>
      <c r="B39" s="213"/>
      <c r="C39" s="213"/>
      <c r="D39" s="213"/>
      <c r="E39" s="213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</row>
    <row r="40">
      <c r="A40" s="65"/>
      <c r="B40" s="213"/>
      <c r="C40" s="213"/>
      <c r="D40" s="213"/>
      <c r="E40" s="213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</row>
    <row r="41">
      <c r="A41" s="65"/>
      <c r="B41" s="213"/>
      <c r="C41" s="213"/>
      <c r="D41" s="213"/>
      <c r="E41" s="213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</row>
    <row r="42">
      <c r="A42" s="65"/>
      <c r="B42" s="213"/>
      <c r="C42" s="213"/>
      <c r="D42" s="213"/>
      <c r="E42" s="213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</row>
    <row r="43">
      <c r="A43" s="65"/>
      <c r="B43" s="213"/>
      <c r="C43" s="213"/>
      <c r="D43" s="213"/>
      <c r="E43" s="213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</row>
    <row r="44">
      <c r="A44" s="65"/>
      <c r="B44" s="213"/>
      <c r="C44" s="213"/>
      <c r="D44" s="213"/>
      <c r="E44" s="213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</row>
    <row r="45">
      <c r="A45" s="65"/>
      <c r="B45" s="213"/>
      <c r="C45" s="213"/>
      <c r="D45" s="213"/>
      <c r="E45" s="213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</row>
    <row r="46">
      <c r="A46" s="65"/>
      <c r="B46" s="213"/>
      <c r="C46" s="213"/>
      <c r="D46" s="213"/>
      <c r="E46" s="213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</row>
    <row r="47">
      <c r="A47" s="65"/>
      <c r="B47" s="213"/>
      <c r="C47" s="213"/>
      <c r="D47" s="213"/>
      <c r="E47" s="21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</row>
    <row r="48">
      <c r="A48" s="65"/>
      <c r="B48" s="213"/>
      <c r="C48" s="213"/>
      <c r="D48" s="213"/>
      <c r="E48" s="213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</row>
    <row r="49">
      <c r="A49" s="65"/>
      <c r="B49" s="213"/>
      <c r="C49" s="213"/>
      <c r="D49" s="213"/>
      <c r="E49" s="213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</row>
    <row r="50">
      <c r="A50" s="65"/>
      <c r="B50" s="213"/>
      <c r="C50" s="213"/>
      <c r="D50" s="213"/>
      <c r="E50" s="213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</row>
    <row r="51">
      <c r="A51" s="65"/>
      <c r="B51" s="213"/>
      <c r="C51" s="213"/>
      <c r="D51" s="213"/>
      <c r="E51" s="21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</row>
    <row r="52">
      <c r="A52" s="65"/>
      <c r="B52" s="213"/>
      <c r="C52" s="213"/>
      <c r="D52" s="213"/>
      <c r="E52" s="213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>
      <c r="A53" s="65"/>
      <c r="B53" s="213"/>
      <c r="C53" s="213"/>
      <c r="D53" s="213"/>
      <c r="E53" s="213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>
      <c r="A54" s="65"/>
      <c r="B54" s="213"/>
      <c r="C54" s="213"/>
      <c r="D54" s="213"/>
      <c r="E54" s="213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>
      <c r="A55" s="65"/>
      <c r="B55" s="213"/>
      <c r="C55" s="213"/>
      <c r="D55" s="213"/>
      <c r="E55" s="213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>
      <c r="A56" s="65"/>
      <c r="B56" s="213"/>
      <c r="C56" s="213"/>
      <c r="D56" s="213"/>
      <c r="E56" s="213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>
      <c r="A57" s="65"/>
      <c r="B57" s="213"/>
      <c r="C57" s="213"/>
      <c r="D57" s="213"/>
      <c r="E57" s="213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>
      <c r="A58" s="65"/>
      <c r="B58" s="213"/>
      <c r="C58" s="213"/>
      <c r="D58" s="213"/>
      <c r="E58" s="213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>
      <c r="A59" s="65"/>
      <c r="B59" s="213"/>
      <c r="C59" s="213"/>
      <c r="D59" s="213"/>
      <c r="E59" s="213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>
      <c r="A60" s="65"/>
      <c r="B60" s="213"/>
      <c r="C60" s="213"/>
      <c r="D60" s="213"/>
      <c r="E60" s="213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>
      <c r="A61" s="65"/>
      <c r="B61" s="213"/>
      <c r="C61" s="213"/>
      <c r="D61" s="213"/>
      <c r="E61" s="213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>
      <c r="A62" s="65"/>
      <c r="B62" s="213"/>
      <c r="C62" s="213"/>
      <c r="D62" s="213"/>
      <c r="E62" s="213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>
      <c r="A63" s="65"/>
      <c r="B63" s="213"/>
      <c r="C63" s="213"/>
      <c r="D63" s="213"/>
      <c r="E63" s="213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>
      <c r="A64" s="65"/>
      <c r="B64" s="213"/>
      <c r="C64" s="213"/>
      <c r="D64" s="213"/>
      <c r="E64" s="213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>
      <c r="A65" s="65"/>
      <c r="B65" s="213"/>
      <c r="C65" s="213"/>
      <c r="D65" s="213"/>
      <c r="E65" s="213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>
      <c r="A66" s="65"/>
      <c r="B66" s="213"/>
      <c r="C66" s="213"/>
      <c r="D66" s="213"/>
      <c r="E66" s="213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>
      <c r="A67" s="65"/>
      <c r="B67" s="213"/>
      <c r="C67" s="213"/>
      <c r="D67" s="213"/>
      <c r="E67" s="213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>
      <c r="A68" s="65"/>
      <c r="B68" s="213"/>
      <c r="C68" s="213"/>
      <c r="D68" s="213"/>
      <c r="E68" s="213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>
      <c r="A69" s="65"/>
      <c r="B69" s="213"/>
      <c r="C69" s="213"/>
      <c r="D69" s="213"/>
      <c r="E69" s="213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>
      <c r="A70" s="65"/>
      <c r="B70" s="213"/>
      <c r="C70" s="213"/>
      <c r="D70" s="213"/>
      <c r="E70" s="213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>
      <c r="A71" s="65"/>
      <c r="B71" s="213"/>
      <c r="C71" s="213"/>
      <c r="D71" s="213"/>
      <c r="E71" s="213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>
      <c r="A72" s="65"/>
      <c r="B72" s="213"/>
      <c r="C72" s="213"/>
      <c r="D72" s="213"/>
      <c r="E72" s="213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>
      <c r="A73" s="65"/>
      <c r="B73" s="213"/>
      <c r="C73" s="213"/>
      <c r="D73" s="213"/>
      <c r="E73" s="213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>
      <c r="A74" s="65"/>
      <c r="B74" s="213"/>
      <c r="C74" s="213"/>
      <c r="D74" s="213"/>
      <c r="E74" s="213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>
      <c r="A75" s="65"/>
      <c r="B75" s="213"/>
      <c r="C75" s="213"/>
      <c r="D75" s="213"/>
      <c r="E75" s="213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>
      <c r="A76" s="65"/>
      <c r="B76" s="213"/>
      <c r="C76" s="213"/>
      <c r="D76" s="213"/>
      <c r="E76" s="213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>
      <c r="A77" s="65"/>
      <c r="B77" s="213"/>
      <c r="C77" s="213"/>
      <c r="D77" s="213"/>
      <c r="E77" s="213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>
      <c r="A78" s="65"/>
      <c r="B78" s="213"/>
      <c r="C78" s="213"/>
      <c r="D78" s="213"/>
      <c r="E78" s="213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>
      <c r="A79" s="65"/>
      <c r="B79" s="213"/>
      <c r="C79" s="213"/>
      <c r="D79" s="213"/>
      <c r="E79" s="213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>
      <c r="A80" s="65"/>
      <c r="B80" s="213"/>
      <c r="C80" s="213"/>
      <c r="D80" s="213"/>
      <c r="E80" s="213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>
      <c r="A81" s="65"/>
      <c r="B81" s="213"/>
      <c r="C81" s="213"/>
      <c r="D81" s="213"/>
      <c r="E81" s="213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>
      <c r="A82" s="65"/>
      <c r="B82" s="213"/>
      <c r="C82" s="213"/>
      <c r="D82" s="213"/>
      <c r="E82" s="213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>
      <c r="A83" s="65"/>
      <c r="B83" s="213"/>
      <c r="C83" s="213"/>
      <c r="D83" s="213"/>
      <c r="E83" s="213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>
      <c r="A84" s="65"/>
      <c r="B84" s="213"/>
      <c r="C84" s="213"/>
      <c r="D84" s="213"/>
      <c r="E84" s="213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>
      <c r="A85" s="65"/>
      <c r="B85" s="213"/>
      <c r="C85" s="213"/>
      <c r="D85" s="213"/>
      <c r="E85" s="213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>
      <c r="A86" s="65"/>
      <c r="B86" s="213"/>
      <c r="C86" s="213"/>
      <c r="D86" s="213"/>
      <c r="E86" s="213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>
      <c r="A87" s="65"/>
      <c r="B87" s="213"/>
      <c r="C87" s="213"/>
      <c r="D87" s="213"/>
      <c r="E87" s="213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>
      <c r="A88" s="65"/>
      <c r="B88" s="213"/>
      <c r="C88" s="213"/>
      <c r="D88" s="213"/>
      <c r="E88" s="213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>
      <c r="A89" s="65"/>
      <c r="B89" s="213"/>
      <c r="C89" s="213"/>
      <c r="D89" s="213"/>
      <c r="E89" s="213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>
      <c r="A90" s="65"/>
      <c r="B90" s="213"/>
      <c r="C90" s="213"/>
      <c r="D90" s="213"/>
      <c r="E90" s="213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>
      <c r="A91" s="65"/>
      <c r="B91" s="213"/>
      <c r="C91" s="213"/>
      <c r="D91" s="213"/>
      <c r="E91" s="213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>
      <c r="A92" s="65"/>
      <c r="B92" s="213"/>
      <c r="C92" s="213"/>
      <c r="D92" s="213"/>
      <c r="E92" s="213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>
      <c r="A93" s="65"/>
      <c r="B93" s="213"/>
      <c r="C93" s="213"/>
      <c r="D93" s="213"/>
      <c r="E93" s="213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>
      <c r="A94" s="65"/>
      <c r="B94" s="213"/>
      <c r="C94" s="213"/>
      <c r="D94" s="213"/>
      <c r="E94" s="213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>
      <c r="A95" s="65"/>
      <c r="B95" s="213"/>
      <c r="C95" s="213"/>
      <c r="D95" s="213"/>
      <c r="E95" s="213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>
      <c r="A96" s="65"/>
      <c r="B96" s="213"/>
      <c r="C96" s="213"/>
      <c r="D96" s="213"/>
      <c r="E96" s="213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>
      <c r="A97" s="65"/>
      <c r="B97" s="213"/>
      <c r="C97" s="213"/>
      <c r="D97" s="213"/>
      <c r="E97" s="213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>
      <c r="A98" s="65"/>
      <c r="B98" s="213"/>
      <c r="C98" s="213"/>
      <c r="D98" s="213"/>
      <c r="E98" s="213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>
      <c r="A99" s="65"/>
      <c r="B99" s="213"/>
      <c r="C99" s="213"/>
      <c r="D99" s="213"/>
      <c r="E99" s="213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>
      <c r="A100" s="65"/>
      <c r="B100" s="213"/>
      <c r="C100" s="213"/>
      <c r="D100" s="213"/>
      <c r="E100" s="213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>
      <c r="A101" s="65"/>
      <c r="B101" s="213"/>
      <c r="C101" s="213"/>
      <c r="D101" s="213"/>
      <c r="E101" s="213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>
      <c r="A102" s="65"/>
      <c r="B102" s="213"/>
      <c r="C102" s="213"/>
      <c r="D102" s="213"/>
      <c r="E102" s="213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>
      <c r="A103" s="65"/>
      <c r="B103" s="213"/>
      <c r="C103" s="213"/>
      <c r="D103" s="213"/>
      <c r="E103" s="213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>
      <c r="A104" s="65"/>
      <c r="B104" s="213"/>
      <c r="C104" s="213"/>
      <c r="D104" s="213"/>
      <c r="E104" s="213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>
      <c r="A105" s="65"/>
      <c r="B105" s="213"/>
      <c r="C105" s="213"/>
      <c r="D105" s="213"/>
      <c r="E105" s="213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>
      <c r="A106" s="65"/>
      <c r="B106" s="213"/>
      <c r="C106" s="213"/>
      <c r="D106" s="213"/>
      <c r="E106" s="213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>
      <c r="A107" s="65"/>
      <c r="B107" s="213"/>
      <c r="C107" s="213"/>
      <c r="D107" s="213"/>
      <c r="E107" s="213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>
      <c r="A108" s="65"/>
      <c r="B108" s="213"/>
      <c r="C108" s="213"/>
      <c r="D108" s="213"/>
      <c r="E108" s="213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>
      <c r="A109" s="65"/>
      <c r="B109" s="213"/>
      <c r="C109" s="213"/>
      <c r="D109" s="213"/>
      <c r="E109" s="213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>
      <c r="A110" s="65"/>
      <c r="B110" s="213"/>
      <c r="C110" s="213"/>
      <c r="D110" s="213"/>
      <c r="E110" s="213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>
      <c r="A111" s="65"/>
      <c r="B111" s="213"/>
      <c r="C111" s="213"/>
      <c r="D111" s="213"/>
      <c r="E111" s="213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>
      <c r="A112" s="65"/>
      <c r="B112" s="213"/>
      <c r="C112" s="213"/>
      <c r="D112" s="213"/>
      <c r="E112" s="213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>
      <c r="A113" s="65"/>
      <c r="B113" s="213"/>
      <c r="C113" s="213"/>
      <c r="D113" s="213"/>
      <c r="E113" s="213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>
      <c r="A114" s="65"/>
      <c r="B114" s="213"/>
      <c r="C114" s="213"/>
      <c r="D114" s="213"/>
      <c r="E114" s="213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>
      <c r="A115" s="65"/>
      <c r="B115" s="213"/>
      <c r="C115" s="213"/>
      <c r="D115" s="213"/>
      <c r="E115" s="213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>
      <c r="A116" s="65"/>
      <c r="B116" s="213"/>
      <c r="C116" s="213"/>
      <c r="D116" s="213"/>
      <c r="E116" s="213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>
      <c r="A117" s="65"/>
      <c r="B117" s="213"/>
      <c r="C117" s="213"/>
      <c r="D117" s="213"/>
      <c r="E117" s="213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>
      <c r="A118" s="65"/>
      <c r="B118" s="213"/>
      <c r="C118" s="213"/>
      <c r="D118" s="213"/>
      <c r="E118" s="213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>
      <c r="A119" s="65"/>
      <c r="B119" s="213"/>
      <c r="C119" s="213"/>
      <c r="D119" s="213"/>
      <c r="E119" s="213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>
      <c r="A120" s="65"/>
      <c r="B120" s="213"/>
      <c r="C120" s="213"/>
      <c r="D120" s="213"/>
      <c r="E120" s="213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>
      <c r="A121" s="65"/>
      <c r="B121" s="213"/>
      <c r="C121" s="213"/>
      <c r="D121" s="213"/>
      <c r="E121" s="213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>
      <c r="A122" s="65"/>
      <c r="B122" s="213"/>
      <c r="C122" s="213"/>
      <c r="D122" s="213"/>
      <c r="E122" s="213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>
      <c r="A123" s="65"/>
      <c r="B123" s="213"/>
      <c r="C123" s="213"/>
      <c r="D123" s="213"/>
      <c r="E123" s="213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>
      <c r="A124" s="65"/>
      <c r="B124" s="213"/>
      <c r="C124" s="213"/>
      <c r="D124" s="213"/>
      <c r="E124" s="213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>
      <c r="A125" s="65"/>
      <c r="B125" s="213"/>
      <c r="C125" s="213"/>
      <c r="D125" s="213"/>
      <c r="E125" s="213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>
      <c r="A126" s="65"/>
      <c r="B126" s="213"/>
      <c r="C126" s="213"/>
      <c r="D126" s="213"/>
      <c r="E126" s="213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>
      <c r="A127" s="65"/>
      <c r="B127" s="213"/>
      <c r="C127" s="213"/>
      <c r="D127" s="213"/>
      <c r="E127" s="213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>
      <c r="A128" s="65"/>
      <c r="B128" s="213"/>
      <c r="C128" s="213"/>
      <c r="D128" s="213"/>
      <c r="E128" s="213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>
      <c r="A129" s="65"/>
      <c r="B129" s="213"/>
      <c r="C129" s="213"/>
      <c r="D129" s="213"/>
      <c r="E129" s="213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>
      <c r="A130" s="65"/>
      <c r="B130" s="213"/>
      <c r="C130" s="213"/>
      <c r="D130" s="213"/>
      <c r="E130" s="213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>
      <c r="A131" s="65"/>
      <c r="B131" s="213"/>
      <c r="C131" s="213"/>
      <c r="D131" s="213"/>
      <c r="E131" s="213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>
      <c r="A132" s="65"/>
      <c r="B132" s="213"/>
      <c r="C132" s="213"/>
      <c r="D132" s="213"/>
      <c r="E132" s="213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>
      <c r="A133" s="65"/>
      <c r="B133" s="213"/>
      <c r="C133" s="213"/>
      <c r="D133" s="213"/>
      <c r="E133" s="213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>
      <c r="A134" s="65"/>
      <c r="B134" s="213"/>
      <c r="C134" s="213"/>
      <c r="D134" s="213"/>
      <c r="E134" s="213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>
      <c r="A135" s="65"/>
      <c r="B135" s="213"/>
      <c r="C135" s="213"/>
      <c r="D135" s="213"/>
      <c r="E135" s="213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>
      <c r="A136" s="65"/>
      <c r="B136" s="213"/>
      <c r="C136" s="213"/>
      <c r="D136" s="213"/>
      <c r="E136" s="213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>
      <c r="A137" s="65"/>
      <c r="B137" s="213"/>
      <c r="C137" s="213"/>
      <c r="D137" s="213"/>
      <c r="E137" s="213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>
      <c r="A138" s="65"/>
      <c r="B138" s="213"/>
      <c r="C138" s="213"/>
      <c r="D138" s="213"/>
      <c r="E138" s="213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>
      <c r="A139" s="65"/>
      <c r="B139" s="213"/>
      <c r="C139" s="213"/>
      <c r="D139" s="213"/>
      <c r="E139" s="213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>
      <c r="A140" s="65"/>
      <c r="B140" s="213"/>
      <c r="C140" s="213"/>
      <c r="D140" s="213"/>
      <c r="E140" s="213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>
      <c r="A141" s="65"/>
      <c r="B141" s="213"/>
      <c r="C141" s="213"/>
      <c r="D141" s="213"/>
      <c r="E141" s="213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>
      <c r="A142" s="65"/>
      <c r="B142" s="213"/>
      <c r="C142" s="213"/>
      <c r="D142" s="213"/>
      <c r="E142" s="213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>
      <c r="A143" s="65"/>
      <c r="B143" s="213"/>
      <c r="C143" s="213"/>
      <c r="D143" s="213"/>
      <c r="E143" s="213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>
      <c r="A144" s="65"/>
      <c r="B144" s="213"/>
      <c r="C144" s="213"/>
      <c r="D144" s="213"/>
      <c r="E144" s="213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>
      <c r="A145" s="65"/>
      <c r="B145" s="213"/>
      <c r="C145" s="213"/>
      <c r="D145" s="213"/>
      <c r="E145" s="213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>
      <c r="A146" s="65"/>
      <c r="B146" s="213"/>
      <c r="C146" s="213"/>
      <c r="D146" s="213"/>
      <c r="E146" s="213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>
      <c r="A147" s="65"/>
      <c r="B147" s="213"/>
      <c r="C147" s="213"/>
      <c r="D147" s="213"/>
      <c r="E147" s="213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>
      <c r="A148" s="65"/>
      <c r="B148" s="213"/>
      <c r="C148" s="213"/>
      <c r="D148" s="213"/>
      <c r="E148" s="213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>
      <c r="A149" s="65"/>
      <c r="B149" s="213"/>
      <c r="C149" s="213"/>
      <c r="D149" s="213"/>
      <c r="E149" s="213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>
      <c r="A150" s="65"/>
      <c r="B150" s="213"/>
      <c r="C150" s="213"/>
      <c r="D150" s="213"/>
      <c r="E150" s="213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>
      <c r="A151" s="65"/>
      <c r="B151" s="213"/>
      <c r="C151" s="213"/>
      <c r="D151" s="213"/>
      <c r="E151" s="213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>
      <c r="A152" s="65"/>
      <c r="B152" s="213"/>
      <c r="C152" s="213"/>
      <c r="D152" s="213"/>
      <c r="E152" s="213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>
      <c r="A153" s="65"/>
      <c r="B153" s="213"/>
      <c r="C153" s="213"/>
      <c r="D153" s="213"/>
      <c r="E153" s="213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>
      <c r="A154" s="65"/>
      <c r="B154" s="213"/>
      <c r="C154" s="213"/>
      <c r="D154" s="213"/>
      <c r="E154" s="213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>
      <c r="A155" s="65"/>
      <c r="B155" s="213"/>
      <c r="C155" s="213"/>
      <c r="D155" s="213"/>
      <c r="E155" s="213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>
      <c r="A156" s="65"/>
      <c r="B156" s="213"/>
      <c r="C156" s="213"/>
      <c r="D156" s="213"/>
      <c r="E156" s="213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>
      <c r="A157" s="65"/>
      <c r="B157" s="213"/>
      <c r="C157" s="213"/>
      <c r="D157" s="213"/>
      <c r="E157" s="213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>
      <c r="A158" s="65"/>
      <c r="B158" s="213"/>
      <c r="C158" s="213"/>
      <c r="D158" s="213"/>
      <c r="E158" s="213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>
      <c r="A159" s="65"/>
      <c r="B159" s="213"/>
      <c r="C159" s="213"/>
      <c r="D159" s="213"/>
      <c r="E159" s="213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>
      <c r="A160" s="65"/>
      <c r="B160" s="213"/>
      <c r="C160" s="213"/>
      <c r="D160" s="213"/>
      <c r="E160" s="213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>
      <c r="A161" s="65"/>
      <c r="B161" s="213"/>
      <c r="C161" s="213"/>
      <c r="D161" s="213"/>
      <c r="E161" s="213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>
      <c r="A162" s="65"/>
      <c r="B162" s="213"/>
      <c r="C162" s="213"/>
      <c r="D162" s="213"/>
      <c r="E162" s="213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>
      <c r="A163" s="65"/>
      <c r="B163" s="213"/>
      <c r="C163" s="213"/>
      <c r="D163" s="213"/>
      <c r="E163" s="213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>
      <c r="A164" s="65"/>
      <c r="B164" s="213"/>
      <c r="C164" s="213"/>
      <c r="D164" s="213"/>
      <c r="E164" s="213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>
      <c r="A165" s="65"/>
      <c r="B165" s="213"/>
      <c r="C165" s="213"/>
      <c r="D165" s="213"/>
      <c r="E165" s="213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>
      <c r="A166" s="65"/>
      <c r="B166" s="213"/>
      <c r="C166" s="213"/>
      <c r="D166" s="213"/>
      <c r="E166" s="213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>
      <c r="A167" s="65"/>
      <c r="B167" s="213"/>
      <c r="C167" s="213"/>
      <c r="D167" s="213"/>
      <c r="E167" s="213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>
      <c r="A168" s="65"/>
      <c r="B168" s="213"/>
      <c r="C168" s="213"/>
      <c r="D168" s="213"/>
      <c r="E168" s="213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>
      <c r="A169" s="65"/>
      <c r="B169" s="213"/>
      <c r="C169" s="213"/>
      <c r="D169" s="213"/>
      <c r="E169" s="213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>
      <c r="A170" s="65"/>
      <c r="B170" s="213"/>
      <c r="C170" s="213"/>
      <c r="D170" s="213"/>
      <c r="E170" s="213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>
      <c r="A171" s="65"/>
      <c r="B171" s="213"/>
      <c r="C171" s="213"/>
      <c r="D171" s="213"/>
      <c r="E171" s="213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>
      <c r="A172" s="65"/>
      <c r="B172" s="213"/>
      <c r="C172" s="213"/>
      <c r="D172" s="213"/>
      <c r="E172" s="213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>
      <c r="A173" s="65"/>
      <c r="B173" s="213"/>
      <c r="C173" s="213"/>
      <c r="D173" s="213"/>
      <c r="E173" s="213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>
      <c r="A174" s="65"/>
      <c r="B174" s="213"/>
      <c r="C174" s="213"/>
      <c r="D174" s="213"/>
      <c r="E174" s="213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>
      <c r="A175" s="65"/>
      <c r="B175" s="213"/>
      <c r="C175" s="213"/>
      <c r="D175" s="213"/>
      <c r="E175" s="213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>
      <c r="A176" s="65"/>
      <c r="B176" s="213"/>
      <c r="C176" s="213"/>
      <c r="D176" s="213"/>
      <c r="E176" s="213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>
      <c r="A177" s="65"/>
      <c r="B177" s="213"/>
      <c r="C177" s="213"/>
      <c r="D177" s="213"/>
      <c r="E177" s="213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>
      <c r="A178" s="65"/>
      <c r="B178" s="213"/>
      <c r="C178" s="213"/>
      <c r="D178" s="213"/>
      <c r="E178" s="213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>
      <c r="A179" s="65"/>
      <c r="B179" s="213"/>
      <c r="C179" s="213"/>
      <c r="D179" s="213"/>
      <c r="E179" s="213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>
      <c r="A180" s="65"/>
      <c r="B180" s="213"/>
      <c r="C180" s="213"/>
      <c r="D180" s="213"/>
      <c r="E180" s="213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>
      <c r="A181" s="65"/>
      <c r="B181" s="213"/>
      <c r="C181" s="213"/>
      <c r="D181" s="213"/>
      <c r="E181" s="213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>
      <c r="A182" s="65"/>
      <c r="B182" s="213"/>
      <c r="C182" s="213"/>
      <c r="D182" s="213"/>
      <c r="E182" s="213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>
      <c r="A183" s="65"/>
      <c r="B183" s="213"/>
      <c r="C183" s="213"/>
      <c r="D183" s="213"/>
      <c r="E183" s="213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>
      <c r="A184" s="65"/>
      <c r="B184" s="213"/>
      <c r="C184" s="213"/>
      <c r="D184" s="213"/>
      <c r="E184" s="213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>
      <c r="A185" s="65"/>
      <c r="B185" s="213"/>
      <c r="C185" s="213"/>
      <c r="D185" s="213"/>
      <c r="E185" s="213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>
      <c r="A186" s="65"/>
      <c r="B186" s="213"/>
      <c r="C186" s="213"/>
      <c r="D186" s="213"/>
      <c r="E186" s="213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>
      <c r="A187" s="65"/>
      <c r="B187" s="213"/>
      <c r="C187" s="213"/>
      <c r="D187" s="213"/>
      <c r="E187" s="213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>
      <c r="A188" s="65"/>
      <c r="B188" s="213"/>
      <c r="C188" s="213"/>
      <c r="D188" s="213"/>
      <c r="E188" s="213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>
      <c r="A189" s="65"/>
      <c r="B189" s="213"/>
      <c r="C189" s="213"/>
      <c r="D189" s="213"/>
      <c r="E189" s="213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>
      <c r="A190" s="65"/>
      <c r="B190" s="213"/>
      <c r="C190" s="213"/>
      <c r="D190" s="213"/>
      <c r="E190" s="213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>
      <c r="A191" s="65"/>
      <c r="B191" s="213"/>
      <c r="C191" s="213"/>
      <c r="D191" s="213"/>
      <c r="E191" s="213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>
      <c r="A192" s="65"/>
      <c r="B192" s="213"/>
      <c r="C192" s="213"/>
      <c r="D192" s="213"/>
      <c r="E192" s="213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>
      <c r="A193" s="65"/>
      <c r="B193" s="213"/>
      <c r="C193" s="213"/>
      <c r="D193" s="213"/>
      <c r="E193" s="213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>
      <c r="A194" s="65"/>
      <c r="B194" s="213"/>
      <c r="C194" s="213"/>
      <c r="D194" s="213"/>
      <c r="E194" s="213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>
      <c r="A195" s="65"/>
      <c r="B195" s="213"/>
      <c r="C195" s="213"/>
      <c r="D195" s="213"/>
      <c r="E195" s="213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>
      <c r="A196" s="65"/>
      <c r="B196" s="213"/>
      <c r="C196" s="213"/>
      <c r="D196" s="213"/>
      <c r="E196" s="213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>
      <c r="A197" s="65"/>
      <c r="B197" s="213"/>
      <c r="C197" s="213"/>
      <c r="D197" s="213"/>
      <c r="E197" s="213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>
      <c r="A198" s="65"/>
      <c r="B198" s="213"/>
      <c r="C198" s="213"/>
      <c r="D198" s="213"/>
      <c r="E198" s="213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>
      <c r="A199" s="65"/>
      <c r="B199" s="213"/>
      <c r="C199" s="213"/>
      <c r="D199" s="213"/>
      <c r="E199" s="213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>
      <c r="A200" s="65"/>
      <c r="B200" s="213"/>
      <c r="C200" s="213"/>
      <c r="D200" s="213"/>
      <c r="E200" s="213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>
      <c r="A201" s="65"/>
      <c r="B201" s="213"/>
      <c r="C201" s="213"/>
      <c r="D201" s="213"/>
      <c r="E201" s="213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>
      <c r="A202" s="65"/>
      <c r="B202" s="213"/>
      <c r="C202" s="213"/>
      <c r="D202" s="213"/>
      <c r="E202" s="213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>
      <c r="A203" s="65"/>
      <c r="B203" s="213"/>
      <c r="C203" s="213"/>
      <c r="D203" s="213"/>
      <c r="E203" s="213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>
      <c r="A204" s="65"/>
      <c r="B204" s="213"/>
      <c r="C204" s="213"/>
      <c r="D204" s="213"/>
      <c r="E204" s="213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>
      <c r="A205" s="65"/>
      <c r="B205" s="213"/>
      <c r="C205" s="213"/>
      <c r="D205" s="213"/>
      <c r="E205" s="213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>
      <c r="A206" s="65"/>
      <c r="B206" s="213"/>
      <c r="C206" s="213"/>
      <c r="D206" s="213"/>
      <c r="E206" s="213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>
      <c r="A207" s="65"/>
      <c r="B207" s="213"/>
      <c r="C207" s="213"/>
      <c r="D207" s="213"/>
      <c r="E207" s="213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>
      <c r="A208" s="65"/>
      <c r="B208" s="213"/>
      <c r="C208" s="213"/>
      <c r="D208" s="213"/>
      <c r="E208" s="213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>
      <c r="A209" s="65"/>
      <c r="B209" s="213"/>
      <c r="C209" s="213"/>
      <c r="D209" s="213"/>
      <c r="E209" s="213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>
      <c r="A210" s="65"/>
      <c r="B210" s="213"/>
      <c r="C210" s="213"/>
      <c r="D210" s="213"/>
      <c r="E210" s="213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>
      <c r="A211" s="65"/>
      <c r="B211" s="213"/>
      <c r="C211" s="213"/>
      <c r="D211" s="213"/>
      <c r="E211" s="213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>
      <c r="A212" s="65"/>
      <c r="B212" s="213"/>
      <c r="C212" s="213"/>
      <c r="D212" s="213"/>
      <c r="E212" s="213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>
      <c r="A213" s="65"/>
      <c r="B213" s="213"/>
      <c r="C213" s="213"/>
      <c r="D213" s="213"/>
      <c r="E213" s="213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>
      <c r="A214" s="65"/>
      <c r="B214" s="213"/>
      <c r="C214" s="213"/>
      <c r="D214" s="213"/>
      <c r="E214" s="213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>
      <c r="A215" s="65"/>
      <c r="B215" s="213"/>
      <c r="C215" s="213"/>
      <c r="D215" s="213"/>
      <c r="E215" s="213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>
      <c r="A216" s="65"/>
      <c r="B216" s="213"/>
      <c r="C216" s="213"/>
      <c r="D216" s="213"/>
      <c r="E216" s="213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>
      <c r="A217" s="65"/>
      <c r="B217" s="213"/>
      <c r="C217" s="213"/>
      <c r="D217" s="213"/>
      <c r="E217" s="213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>
      <c r="A218" s="65"/>
      <c r="B218" s="213"/>
      <c r="C218" s="213"/>
      <c r="D218" s="213"/>
      <c r="E218" s="213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>
      <c r="A219" s="65"/>
      <c r="B219" s="213"/>
      <c r="C219" s="213"/>
      <c r="D219" s="213"/>
      <c r="E219" s="213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>
      <c r="A220" s="65"/>
      <c r="B220" s="213"/>
      <c r="C220" s="213"/>
      <c r="D220" s="213"/>
      <c r="E220" s="213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>
      <c r="A221" s="65"/>
      <c r="B221" s="213"/>
      <c r="C221" s="213"/>
      <c r="D221" s="213"/>
      <c r="E221" s="213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>
      <c r="A222" s="65"/>
      <c r="B222" s="213"/>
      <c r="C222" s="213"/>
      <c r="D222" s="213"/>
      <c r="E222" s="213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>
      <c r="A223" s="65"/>
      <c r="B223" s="213"/>
      <c r="C223" s="213"/>
      <c r="D223" s="213"/>
      <c r="E223" s="213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>
      <c r="A224" s="65"/>
      <c r="B224" s="213"/>
      <c r="C224" s="213"/>
      <c r="D224" s="213"/>
      <c r="E224" s="213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>
      <c r="A225" s="65"/>
      <c r="B225" s="213"/>
      <c r="C225" s="213"/>
      <c r="D225" s="213"/>
      <c r="E225" s="213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>
      <c r="A226" s="65"/>
      <c r="B226" s="213"/>
      <c r="C226" s="213"/>
      <c r="D226" s="213"/>
      <c r="E226" s="213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>
      <c r="A227" s="65"/>
      <c r="B227" s="213"/>
      <c r="C227" s="213"/>
      <c r="D227" s="213"/>
      <c r="E227" s="213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>
      <c r="A228" s="65"/>
      <c r="B228" s="213"/>
      <c r="C228" s="213"/>
      <c r="D228" s="213"/>
      <c r="E228" s="213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>
      <c r="A229" s="65"/>
      <c r="B229" s="213"/>
      <c r="C229" s="213"/>
      <c r="D229" s="213"/>
      <c r="E229" s="213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>
      <c r="A230" s="65"/>
      <c r="B230" s="213"/>
      <c r="C230" s="213"/>
      <c r="D230" s="213"/>
      <c r="E230" s="213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>
      <c r="A231" s="65"/>
      <c r="B231" s="213"/>
      <c r="C231" s="213"/>
      <c r="D231" s="213"/>
      <c r="E231" s="213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>
      <c r="A232" s="65"/>
      <c r="B232" s="213"/>
      <c r="C232" s="213"/>
      <c r="D232" s="213"/>
      <c r="E232" s="213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>
      <c r="A233" s="65"/>
      <c r="B233" s="213"/>
      <c r="C233" s="213"/>
      <c r="D233" s="213"/>
      <c r="E233" s="213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>
      <c r="A234" s="65"/>
      <c r="B234" s="213"/>
      <c r="C234" s="213"/>
      <c r="D234" s="213"/>
      <c r="E234" s="213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>
      <c r="A235" s="65"/>
      <c r="B235" s="213"/>
      <c r="C235" s="213"/>
      <c r="D235" s="213"/>
      <c r="E235" s="213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>
      <c r="A236" s="65"/>
      <c r="B236" s="213"/>
      <c r="C236" s="213"/>
      <c r="D236" s="213"/>
      <c r="E236" s="213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>
      <c r="A237" s="65"/>
      <c r="B237" s="213"/>
      <c r="C237" s="213"/>
      <c r="D237" s="213"/>
      <c r="E237" s="213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>
      <c r="A238" s="65"/>
      <c r="B238" s="213"/>
      <c r="C238" s="213"/>
      <c r="D238" s="213"/>
      <c r="E238" s="213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>
      <c r="A239" s="65"/>
      <c r="B239" s="213"/>
      <c r="C239" s="213"/>
      <c r="D239" s="213"/>
      <c r="E239" s="213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>
      <c r="A240" s="65"/>
      <c r="B240" s="213"/>
      <c r="C240" s="213"/>
      <c r="D240" s="213"/>
      <c r="E240" s="213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>
      <c r="A241" s="65"/>
      <c r="B241" s="213"/>
      <c r="C241" s="213"/>
      <c r="D241" s="213"/>
      <c r="E241" s="213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>
      <c r="A242" s="65"/>
      <c r="B242" s="213"/>
      <c r="C242" s="213"/>
      <c r="D242" s="213"/>
      <c r="E242" s="213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>
      <c r="A243" s="65"/>
      <c r="B243" s="213"/>
      <c r="C243" s="213"/>
      <c r="D243" s="213"/>
      <c r="E243" s="213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>
      <c r="A244" s="65"/>
      <c r="B244" s="213"/>
      <c r="C244" s="213"/>
      <c r="D244" s="213"/>
      <c r="E244" s="213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>
      <c r="A245" s="65"/>
      <c r="B245" s="213"/>
      <c r="C245" s="213"/>
      <c r="D245" s="213"/>
      <c r="E245" s="213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>
      <c r="A246" s="65"/>
      <c r="B246" s="213"/>
      <c r="C246" s="213"/>
      <c r="D246" s="213"/>
      <c r="E246" s="213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>
      <c r="A247" s="65"/>
      <c r="B247" s="213"/>
      <c r="C247" s="213"/>
      <c r="D247" s="213"/>
      <c r="E247" s="213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>
      <c r="A248" s="65"/>
      <c r="B248" s="213"/>
      <c r="C248" s="213"/>
      <c r="D248" s="213"/>
      <c r="E248" s="213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>
      <c r="A249" s="65"/>
      <c r="B249" s="213"/>
      <c r="C249" s="213"/>
      <c r="D249" s="213"/>
      <c r="E249" s="213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>
      <c r="A250" s="65"/>
      <c r="B250" s="213"/>
      <c r="C250" s="213"/>
      <c r="D250" s="213"/>
      <c r="E250" s="213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>
      <c r="A251" s="65"/>
      <c r="B251" s="213"/>
      <c r="C251" s="213"/>
      <c r="D251" s="213"/>
      <c r="E251" s="213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>
      <c r="A252" s="65"/>
      <c r="B252" s="213"/>
      <c r="C252" s="213"/>
      <c r="D252" s="213"/>
      <c r="E252" s="213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>
      <c r="A253" s="65"/>
      <c r="B253" s="213"/>
      <c r="C253" s="213"/>
      <c r="D253" s="213"/>
      <c r="E253" s="213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>
      <c r="A254" s="65"/>
      <c r="B254" s="213"/>
      <c r="C254" s="213"/>
      <c r="D254" s="213"/>
      <c r="E254" s="213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>
      <c r="A255" s="65"/>
      <c r="B255" s="213"/>
      <c r="C255" s="213"/>
      <c r="D255" s="213"/>
      <c r="E255" s="213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>
      <c r="A256" s="65"/>
      <c r="B256" s="213"/>
      <c r="C256" s="213"/>
      <c r="D256" s="213"/>
      <c r="E256" s="213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>
      <c r="A257" s="65"/>
      <c r="B257" s="213"/>
      <c r="C257" s="213"/>
      <c r="D257" s="213"/>
      <c r="E257" s="213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>
      <c r="A258" s="65"/>
      <c r="B258" s="213"/>
      <c r="C258" s="213"/>
      <c r="D258" s="213"/>
      <c r="E258" s="213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>
      <c r="A259" s="65"/>
      <c r="B259" s="213"/>
      <c r="C259" s="213"/>
      <c r="D259" s="213"/>
      <c r="E259" s="213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>
      <c r="A260" s="65"/>
      <c r="B260" s="213"/>
      <c r="C260" s="213"/>
      <c r="D260" s="213"/>
      <c r="E260" s="213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>
      <c r="A261" s="65"/>
      <c r="B261" s="213"/>
      <c r="C261" s="213"/>
      <c r="D261" s="213"/>
      <c r="E261" s="213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>
      <c r="A262" s="65"/>
      <c r="B262" s="213"/>
      <c r="C262" s="213"/>
      <c r="D262" s="213"/>
      <c r="E262" s="213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>
      <c r="A263" s="65"/>
      <c r="B263" s="213"/>
      <c r="C263" s="213"/>
      <c r="D263" s="213"/>
      <c r="E263" s="213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>
      <c r="A264" s="65"/>
      <c r="B264" s="213"/>
      <c r="C264" s="213"/>
      <c r="D264" s="213"/>
      <c r="E264" s="213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>
      <c r="A265" s="65"/>
      <c r="B265" s="213"/>
      <c r="C265" s="213"/>
      <c r="D265" s="213"/>
      <c r="E265" s="213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>
      <c r="A266" s="65"/>
      <c r="B266" s="213"/>
      <c r="C266" s="213"/>
      <c r="D266" s="213"/>
      <c r="E266" s="213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>
      <c r="A267" s="65"/>
      <c r="B267" s="213"/>
      <c r="C267" s="213"/>
      <c r="D267" s="213"/>
      <c r="E267" s="213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>
      <c r="A268" s="65"/>
      <c r="B268" s="213"/>
      <c r="C268" s="213"/>
      <c r="D268" s="213"/>
      <c r="E268" s="213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>
      <c r="A269" s="65"/>
      <c r="B269" s="213"/>
      <c r="C269" s="213"/>
      <c r="D269" s="213"/>
      <c r="E269" s="213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>
      <c r="A270" s="65"/>
      <c r="B270" s="213"/>
      <c r="C270" s="213"/>
      <c r="D270" s="213"/>
      <c r="E270" s="213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>
      <c r="A271" s="65"/>
      <c r="B271" s="213"/>
      <c r="C271" s="213"/>
      <c r="D271" s="213"/>
      <c r="E271" s="213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>
      <c r="A272" s="65"/>
      <c r="B272" s="213"/>
      <c r="C272" s="213"/>
      <c r="D272" s="213"/>
      <c r="E272" s="213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>
      <c r="A273" s="65"/>
      <c r="B273" s="213"/>
      <c r="C273" s="213"/>
      <c r="D273" s="213"/>
      <c r="E273" s="213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>
      <c r="A274" s="65"/>
      <c r="B274" s="213"/>
      <c r="C274" s="213"/>
      <c r="D274" s="213"/>
      <c r="E274" s="213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>
      <c r="A275" s="65"/>
      <c r="B275" s="213"/>
      <c r="C275" s="213"/>
      <c r="D275" s="213"/>
      <c r="E275" s="213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>
      <c r="A276" s="65"/>
      <c r="B276" s="213"/>
      <c r="C276" s="213"/>
      <c r="D276" s="213"/>
      <c r="E276" s="213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>
      <c r="A277" s="65"/>
      <c r="B277" s="213"/>
      <c r="C277" s="213"/>
      <c r="D277" s="213"/>
      <c r="E277" s="213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>
      <c r="A278" s="65"/>
      <c r="B278" s="213"/>
      <c r="C278" s="213"/>
      <c r="D278" s="213"/>
      <c r="E278" s="213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>
      <c r="A279" s="65"/>
      <c r="B279" s="213"/>
      <c r="C279" s="213"/>
      <c r="D279" s="213"/>
      <c r="E279" s="213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>
      <c r="A280" s="65"/>
      <c r="B280" s="213"/>
      <c r="C280" s="213"/>
      <c r="D280" s="213"/>
      <c r="E280" s="213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>
      <c r="A281" s="65"/>
      <c r="B281" s="213"/>
      <c r="C281" s="213"/>
      <c r="D281" s="213"/>
      <c r="E281" s="213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>
      <c r="A282" s="65"/>
      <c r="B282" s="213"/>
      <c r="C282" s="213"/>
      <c r="D282" s="213"/>
      <c r="E282" s="213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>
      <c r="A283" s="65"/>
      <c r="B283" s="213"/>
      <c r="C283" s="213"/>
      <c r="D283" s="213"/>
      <c r="E283" s="213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>
      <c r="A284" s="65"/>
      <c r="B284" s="213"/>
      <c r="C284" s="213"/>
      <c r="D284" s="213"/>
      <c r="E284" s="213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>
      <c r="A285" s="65"/>
      <c r="B285" s="213"/>
      <c r="C285" s="213"/>
      <c r="D285" s="213"/>
      <c r="E285" s="213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>
      <c r="A286" s="65"/>
      <c r="B286" s="213"/>
      <c r="C286" s="213"/>
      <c r="D286" s="213"/>
      <c r="E286" s="213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>
      <c r="A287" s="65"/>
      <c r="B287" s="213"/>
      <c r="C287" s="213"/>
      <c r="D287" s="213"/>
      <c r="E287" s="213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>
      <c r="A288" s="65"/>
      <c r="B288" s="213"/>
      <c r="C288" s="213"/>
      <c r="D288" s="213"/>
      <c r="E288" s="213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>
      <c r="A289" s="65"/>
      <c r="B289" s="213"/>
      <c r="C289" s="213"/>
      <c r="D289" s="213"/>
      <c r="E289" s="213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>
      <c r="A290" s="65"/>
      <c r="B290" s="213"/>
      <c r="C290" s="213"/>
      <c r="D290" s="213"/>
      <c r="E290" s="213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>
      <c r="A291" s="65"/>
      <c r="B291" s="213"/>
      <c r="C291" s="213"/>
      <c r="D291" s="213"/>
      <c r="E291" s="213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>
      <c r="A292" s="65"/>
      <c r="B292" s="213"/>
      <c r="C292" s="213"/>
      <c r="D292" s="213"/>
      <c r="E292" s="213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>
      <c r="A293" s="65"/>
      <c r="B293" s="213"/>
      <c r="C293" s="213"/>
      <c r="D293" s="213"/>
      <c r="E293" s="213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>
      <c r="A294" s="65"/>
      <c r="B294" s="213"/>
      <c r="C294" s="213"/>
      <c r="D294" s="213"/>
      <c r="E294" s="213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>
      <c r="A295" s="65"/>
      <c r="B295" s="213"/>
      <c r="C295" s="213"/>
      <c r="D295" s="213"/>
      <c r="E295" s="213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>
      <c r="A296" s="65"/>
      <c r="B296" s="213"/>
      <c r="C296" s="213"/>
      <c r="D296" s="213"/>
      <c r="E296" s="213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>
      <c r="A297" s="65"/>
      <c r="B297" s="213"/>
      <c r="C297" s="213"/>
      <c r="D297" s="213"/>
      <c r="E297" s="213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>
      <c r="A298" s="65"/>
      <c r="B298" s="213"/>
      <c r="C298" s="213"/>
      <c r="D298" s="213"/>
      <c r="E298" s="213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>
      <c r="A299" s="65"/>
      <c r="B299" s="213"/>
      <c r="C299" s="213"/>
      <c r="D299" s="213"/>
      <c r="E299" s="213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>
      <c r="A300" s="65"/>
      <c r="B300" s="213"/>
      <c r="C300" s="213"/>
      <c r="D300" s="213"/>
      <c r="E300" s="213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>
      <c r="A301" s="65"/>
      <c r="B301" s="213"/>
      <c r="C301" s="213"/>
      <c r="D301" s="213"/>
      <c r="E301" s="213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>
      <c r="A302" s="65"/>
      <c r="B302" s="213"/>
      <c r="C302" s="213"/>
      <c r="D302" s="213"/>
      <c r="E302" s="213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>
      <c r="A303" s="65"/>
      <c r="B303" s="213"/>
      <c r="C303" s="213"/>
      <c r="D303" s="213"/>
      <c r="E303" s="213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>
      <c r="A304" s="65"/>
      <c r="B304" s="213"/>
      <c r="C304" s="213"/>
      <c r="D304" s="213"/>
      <c r="E304" s="213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>
      <c r="A305" s="65"/>
      <c r="B305" s="213"/>
      <c r="C305" s="213"/>
      <c r="D305" s="213"/>
      <c r="E305" s="213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>
      <c r="A306" s="65"/>
      <c r="B306" s="213"/>
      <c r="C306" s="213"/>
      <c r="D306" s="213"/>
      <c r="E306" s="213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>
      <c r="A307" s="65"/>
      <c r="B307" s="213"/>
      <c r="C307" s="213"/>
      <c r="D307" s="213"/>
      <c r="E307" s="213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>
      <c r="A308" s="65"/>
      <c r="B308" s="213"/>
      <c r="C308" s="213"/>
      <c r="D308" s="213"/>
      <c r="E308" s="213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>
      <c r="A309" s="65"/>
      <c r="B309" s="213"/>
      <c r="C309" s="213"/>
      <c r="D309" s="213"/>
      <c r="E309" s="213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>
      <c r="A310" s="65"/>
      <c r="B310" s="213"/>
      <c r="C310" s="213"/>
      <c r="D310" s="213"/>
      <c r="E310" s="213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>
      <c r="A311" s="65"/>
      <c r="B311" s="213"/>
      <c r="C311" s="213"/>
      <c r="D311" s="213"/>
      <c r="E311" s="213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>
      <c r="A312" s="65"/>
      <c r="B312" s="213"/>
      <c r="C312" s="213"/>
      <c r="D312" s="213"/>
      <c r="E312" s="213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>
      <c r="A313" s="65"/>
      <c r="B313" s="213"/>
      <c r="C313" s="213"/>
      <c r="D313" s="213"/>
      <c r="E313" s="213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>
      <c r="A314" s="65"/>
      <c r="B314" s="213"/>
      <c r="C314" s="213"/>
      <c r="D314" s="213"/>
      <c r="E314" s="213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>
      <c r="A315" s="65"/>
      <c r="B315" s="213"/>
      <c r="C315" s="213"/>
      <c r="D315" s="213"/>
      <c r="E315" s="213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>
      <c r="A316" s="65"/>
      <c r="B316" s="213"/>
      <c r="C316" s="213"/>
      <c r="D316" s="213"/>
      <c r="E316" s="213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>
      <c r="A317" s="65"/>
      <c r="B317" s="213"/>
      <c r="C317" s="213"/>
      <c r="D317" s="213"/>
      <c r="E317" s="213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>
      <c r="A318" s="65"/>
      <c r="B318" s="213"/>
      <c r="C318" s="213"/>
      <c r="D318" s="213"/>
      <c r="E318" s="213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>
      <c r="A319" s="65"/>
      <c r="B319" s="213"/>
      <c r="C319" s="213"/>
      <c r="D319" s="213"/>
      <c r="E319" s="213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>
      <c r="A320" s="65"/>
      <c r="B320" s="213"/>
      <c r="C320" s="213"/>
      <c r="D320" s="213"/>
      <c r="E320" s="213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>
      <c r="A321" s="65"/>
      <c r="B321" s="213"/>
      <c r="C321" s="213"/>
      <c r="D321" s="213"/>
      <c r="E321" s="213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>
      <c r="A322" s="65"/>
      <c r="B322" s="213"/>
      <c r="C322" s="213"/>
      <c r="D322" s="213"/>
      <c r="E322" s="213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>
      <c r="A323" s="65"/>
      <c r="B323" s="213"/>
      <c r="C323" s="213"/>
      <c r="D323" s="213"/>
      <c r="E323" s="213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>
      <c r="A324" s="65"/>
      <c r="B324" s="213"/>
      <c r="C324" s="213"/>
      <c r="D324" s="213"/>
      <c r="E324" s="213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>
      <c r="A325" s="65"/>
      <c r="B325" s="213"/>
      <c r="C325" s="213"/>
      <c r="D325" s="213"/>
      <c r="E325" s="213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>
      <c r="A326" s="65"/>
      <c r="B326" s="213"/>
      <c r="C326" s="213"/>
      <c r="D326" s="213"/>
      <c r="E326" s="213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>
      <c r="A327" s="65"/>
      <c r="B327" s="213"/>
      <c r="C327" s="213"/>
      <c r="D327" s="213"/>
      <c r="E327" s="213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>
      <c r="A328" s="65"/>
      <c r="B328" s="213"/>
      <c r="C328" s="213"/>
      <c r="D328" s="213"/>
      <c r="E328" s="213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>
      <c r="A329" s="65"/>
      <c r="B329" s="213"/>
      <c r="C329" s="213"/>
      <c r="D329" s="213"/>
      <c r="E329" s="213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>
      <c r="A330" s="65"/>
      <c r="B330" s="213"/>
      <c r="C330" s="213"/>
      <c r="D330" s="213"/>
      <c r="E330" s="213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>
      <c r="A331" s="65"/>
      <c r="B331" s="213"/>
      <c r="C331" s="213"/>
      <c r="D331" s="213"/>
      <c r="E331" s="213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>
      <c r="A332" s="65"/>
      <c r="B332" s="213"/>
      <c r="C332" s="213"/>
      <c r="D332" s="213"/>
      <c r="E332" s="213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>
      <c r="A333" s="65"/>
      <c r="B333" s="213"/>
      <c r="C333" s="213"/>
      <c r="D333" s="213"/>
      <c r="E333" s="213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>
      <c r="A334" s="65"/>
      <c r="B334" s="213"/>
      <c r="C334" s="213"/>
      <c r="D334" s="213"/>
      <c r="E334" s="213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>
      <c r="A335" s="65"/>
      <c r="B335" s="213"/>
      <c r="C335" s="213"/>
      <c r="D335" s="213"/>
      <c r="E335" s="213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>
      <c r="A336" s="65"/>
      <c r="B336" s="213"/>
      <c r="C336" s="213"/>
      <c r="D336" s="213"/>
      <c r="E336" s="213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>
      <c r="A337" s="65"/>
      <c r="B337" s="213"/>
      <c r="C337" s="213"/>
      <c r="D337" s="213"/>
      <c r="E337" s="213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>
      <c r="A338" s="65"/>
      <c r="B338" s="213"/>
      <c r="C338" s="213"/>
      <c r="D338" s="213"/>
      <c r="E338" s="213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>
      <c r="A339" s="65"/>
      <c r="B339" s="213"/>
      <c r="C339" s="213"/>
      <c r="D339" s="213"/>
      <c r="E339" s="213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>
      <c r="A340" s="65"/>
      <c r="B340" s="213"/>
      <c r="C340" s="213"/>
      <c r="D340" s="213"/>
      <c r="E340" s="213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>
      <c r="A341" s="65"/>
      <c r="B341" s="213"/>
      <c r="C341" s="213"/>
      <c r="D341" s="213"/>
      <c r="E341" s="213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>
      <c r="A342" s="65"/>
      <c r="B342" s="213"/>
      <c r="C342" s="213"/>
      <c r="D342" s="213"/>
      <c r="E342" s="213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>
      <c r="A343" s="65"/>
      <c r="B343" s="213"/>
      <c r="C343" s="213"/>
      <c r="D343" s="213"/>
      <c r="E343" s="213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>
      <c r="A344" s="65"/>
      <c r="B344" s="213"/>
      <c r="C344" s="213"/>
      <c r="D344" s="213"/>
      <c r="E344" s="213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>
      <c r="A345" s="65"/>
      <c r="B345" s="213"/>
      <c r="C345" s="213"/>
      <c r="D345" s="213"/>
      <c r="E345" s="213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>
      <c r="A346" s="65"/>
      <c r="B346" s="213"/>
      <c r="C346" s="213"/>
      <c r="D346" s="213"/>
      <c r="E346" s="213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>
      <c r="A347" s="65"/>
      <c r="B347" s="213"/>
      <c r="C347" s="213"/>
      <c r="D347" s="213"/>
      <c r="E347" s="213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>
      <c r="A348" s="65"/>
      <c r="B348" s="213"/>
      <c r="C348" s="213"/>
      <c r="D348" s="213"/>
      <c r="E348" s="213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>
      <c r="A349" s="65"/>
      <c r="B349" s="213"/>
      <c r="C349" s="213"/>
      <c r="D349" s="213"/>
      <c r="E349" s="213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>
      <c r="A350" s="65"/>
      <c r="B350" s="213"/>
      <c r="C350" s="213"/>
      <c r="D350" s="213"/>
      <c r="E350" s="213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>
      <c r="A351" s="65"/>
      <c r="B351" s="213"/>
      <c r="C351" s="213"/>
      <c r="D351" s="213"/>
      <c r="E351" s="213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>
      <c r="A352" s="65"/>
      <c r="B352" s="213"/>
      <c r="C352" s="213"/>
      <c r="D352" s="213"/>
      <c r="E352" s="213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>
      <c r="A353" s="65"/>
      <c r="B353" s="213"/>
      <c r="C353" s="213"/>
      <c r="D353" s="213"/>
      <c r="E353" s="213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>
      <c r="A354" s="65"/>
      <c r="B354" s="213"/>
      <c r="C354" s="213"/>
      <c r="D354" s="213"/>
      <c r="E354" s="213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>
      <c r="A355" s="65"/>
      <c r="B355" s="213"/>
      <c r="C355" s="213"/>
      <c r="D355" s="213"/>
      <c r="E355" s="213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>
      <c r="A356" s="65"/>
      <c r="B356" s="213"/>
      <c r="C356" s="213"/>
      <c r="D356" s="213"/>
      <c r="E356" s="213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>
      <c r="A357" s="65"/>
      <c r="B357" s="213"/>
      <c r="C357" s="213"/>
      <c r="D357" s="213"/>
      <c r="E357" s="213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>
      <c r="A358" s="65"/>
      <c r="B358" s="213"/>
      <c r="C358" s="213"/>
      <c r="D358" s="213"/>
      <c r="E358" s="213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>
      <c r="A359" s="65"/>
      <c r="B359" s="213"/>
      <c r="C359" s="213"/>
      <c r="D359" s="213"/>
      <c r="E359" s="213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>
      <c r="A360" s="65"/>
      <c r="B360" s="213"/>
      <c r="C360" s="213"/>
      <c r="D360" s="213"/>
      <c r="E360" s="213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>
      <c r="A361" s="65"/>
      <c r="B361" s="213"/>
      <c r="C361" s="213"/>
      <c r="D361" s="213"/>
      <c r="E361" s="213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>
      <c r="A362" s="65"/>
      <c r="B362" s="213"/>
      <c r="C362" s="213"/>
      <c r="D362" s="213"/>
      <c r="E362" s="213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>
      <c r="A363" s="65"/>
      <c r="B363" s="213"/>
      <c r="C363" s="213"/>
      <c r="D363" s="213"/>
      <c r="E363" s="213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>
      <c r="A364" s="65"/>
      <c r="B364" s="213"/>
      <c r="C364" s="213"/>
      <c r="D364" s="213"/>
      <c r="E364" s="213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>
      <c r="A365" s="65"/>
      <c r="B365" s="213"/>
      <c r="C365" s="213"/>
      <c r="D365" s="213"/>
      <c r="E365" s="213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>
      <c r="A366" s="65"/>
      <c r="B366" s="213"/>
      <c r="C366" s="213"/>
      <c r="D366" s="213"/>
      <c r="E366" s="213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>
      <c r="A367" s="65"/>
      <c r="B367" s="213"/>
      <c r="C367" s="213"/>
      <c r="D367" s="213"/>
      <c r="E367" s="213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>
      <c r="A368" s="65"/>
      <c r="B368" s="213"/>
      <c r="C368" s="213"/>
      <c r="D368" s="213"/>
      <c r="E368" s="213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>
      <c r="A369" s="65"/>
      <c r="B369" s="213"/>
      <c r="C369" s="213"/>
      <c r="D369" s="213"/>
      <c r="E369" s="213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>
      <c r="A370" s="65"/>
      <c r="B370" s="213"/>
      <c r="C370" s="213"/>
      <c r="D370" s="213"/>
      <c r="E370" s="213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>
      <c r="A371" s="65"/>
      <c r="B371" s="213"/>
      <c r="C371" s="213"/>
      <c r="D371" s="213"/>
      <c r="E371" s="213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>
      <c r="A372" s="65"/>
      <c r="B372" s="213"/>
      <c r="C372" s="213"/>
      <c r="D372" s="213"/>
      <c r="E372" s="213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>
      <c r="A373" s="65"/>
      <c r="B373" s="213"/>
      <c r="C373" s="213"/>
      <c r="D373" s="213"/>
      <c r="E373" s="213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>
      <c r="A374" s="65"/>
      <c r="B374" s="213"/>
      <c r="C374" s="213"/>
      <c r="D374" s="213"/>
      <c r="E374" s="213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>
      <c r="A375" s="65"/>
      <c r="B375" s="213"/>
      <c r="C375" s="213"/>
      <c r="D375" s="213"/>
      <c r="E375" s="213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>
      <c r="A376" s="65"/>
      <c r="B376" s="213"/>
      <c r="C376" s="213"/>
      <c r="D376" s="213"/>
      <c r="E376" s="213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>
      <c r="A377" s="65"/>
      <c r="B377" s="213"/>
      <c r="C377" s="213"/>
      <c r="D377" s="213"/>
      <c r="E377" s="213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>
      <c r="A378" s="65"/>
      <c r="B378" s="213"/>
      <c r="C378" s="213"/>
      <c r="D378" s="213"/>
      <c r="E378" s="213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>
      <c r="A379" s="65"/>
      <c r="B379" s="213"/>
      <c r="C379" s="213"/>
      <c r="D379" s="213"/>
      <c r="E379" s="213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>
      <c r="A380" s="65"/>
      <c r="B380" s="213"/>
      <c r="C380" s="213"/>
      <c r="D380" s="213"/>
      <c r="E380" s="213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>
      <c r="A381" s="65"/>
      <c r="B381" s="213"/>
      <c r="C381" s="213"/>
      <c r="D381" s="213"/>
      <c r="E381" s="213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>
      <c r="A382" s="65"/>
      <c r="B382" s="213"/>
      <c r="C382" s="213"/>
      <c r="D382" s="213"/>
      <c r="E382" s="213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>
      <c r="A383" s="65"/>
      <c r="B383" s="213"/>
      <c r="C383" s="213"/>
      <c r="D383" s="213"/>
      <c r="E383" s="213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>
      <c r="A384" s="65"/>
      <c r="B384" s="213"/>
      <c r="C384" s="213"/>
      <c r="D384" s="213"/>
      <c r="E384" s="213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>
      <c r="A385" s="65"/>
      <c r="B385" s="213"/>
      <c r="C385" s="213"/>
      <c r="D385" s="213"/>
      <c r="E385" s="213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>
      <c r="A386" s="65"/>
      <c r="B386" s="213"/>
      <c r="C386" s="213"/>
      <c r="D386" s="213"/>
      <c r="E386" s="213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>
      <c r="A387" s="65"/>
      <c r="B387" s="213"/>
      <c r="C387" s="213"/>
      <c r="D387" s="213"/>
      <c r="E387" s="213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>
      <c r="A388" s="65"/>
      <c r="B388" s="213"/>
      <c r="C388" s="213"/>
      <c r="D388" s="213"/>
      <c r="E388" s="213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>
      <c r="A389" s="65"/>
      <c r="B389" s="213"/>
      <c r="C389" s="213"/>
      <c r="D389" s="213"/>
      <c r="E389" s="213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>
      <c r="A390" s="65"/>
      <c r="B390" s="213"/>
      <c r="C390" s="213"/>
      <c r="D390" s="213"/>
      <c r="E390" s="213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>
      <c r="A391" s="65"/>
      <c r="B391" s="213"/>
      <c r="C391" s="213"/>
      <c r="D391" s="213"/>
      <c r="E391" s="213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>
      <c r="A392" s="65"/>
      <c r="B392" s="213"/>
      <c r="C392" s="213"/>
      <c r="D392" s="213"/>
      <c r="E392" s="213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>
      <c r="A393" s="65"/>
      <c r="B393" s="213"/>
      <c r="C393" s="213"/>
      <c r="D393" s="213"/>
      <c r="E393" s="213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>
      <c r="A394" s="65"/>
      <c r="B394" s="213"/>
      <c r="C394" s="213"/>
      <c r="D394" s="213"/>
      <c r="E394" s="213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>
      <c r="A395" s="65"/>
      <c r="B395" s="213"/>
      <c r="C395" s="213"/>
      <c r="D395" s="213"/>
      <c r="E395" s="213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>
      <c r="A396" s="65"/>
      <c r="B396" s="213"/>
      <c r="C396" s="213"/>
      <c r="D396" s="213"/>
      <c r="E396" s="213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>
      <c r="A397" s="65"/>
      <c r="B397" s="213"/>
      <c r="C397" s="213"/>
      <c r="D397" s="213"/>
      <c r="E397" s="213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>
      <c r="A398" s="65"/>
      <c r="B398" s="213"/>
      <c r="C398" s="213"/>
      <c r="D398" s="213"/>
      <c r="E398" s="213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>
      <c r="A399" s="65"/>
      <c r="B399" s="213"/>
      <c r="C399" s="213"/>
      <c r="D399" s="213"/>
      <c r="E399" s="213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>
      <c r="A400" s="65"/>
      <c r="B400" s="213"/>
      <c r="C400" s="213"/>
      <c r="D400" s="213"/>
      <c r="E400" s="213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>
      <c r="A401" s="65"/>
      <c r="B401" s="213"/>
      <c r="C401" s="213"/>
      <c r="D401" s="213"/>
      <c r="E401" s="213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>
      <c r="A402" s="65"/>
      <c r="B402" s="213"/>
      <c r="C402" s="213"/>
      <c r="D402" s="213"/>
      <c r="E402" s="213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>
      <c r="A403" s="65"/>
      <c r="B403" s="213"/>
      <c r="C403" s="213"/>
      <c r="D403" s="213"/>
      <c r="E403" s="213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>
      <c r="A404" s="65"/>
      <c r="B404" s="213"/>
      <c r="C404" s="213"/>
      <c r="D404" s="213"/>
      <c r="E404" s="213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>
      <c r="A405" s="65"/>
      <c r="B405" s="213"/>
      <c r="C405" s="213"/>
      <c r="D405" s="213"/>
      <c r="E405" s="213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>
      <c r="A406" s="65"/>
      <c r="B406" s="213"/>
      <c r="C406" s="213"/>
      <c r="D406" s="213"/>
      <c r="E406" s="213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>
      <c r="A407" s="65"/>
      <c r="B407" s="213"/>
      <c r="C407" s="213"/>
      <c r="D407" s="213"/>
      <c r="E407" s="213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>
      <c r="A408" s="65"/>
      <c r="B408" s="213"/>
      <c r="C408" s="213"/>
      <c r="D408" s="213"/>
      <c r="E408" s="213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>
      <c r="A409" s="65"/>
      <c r="B409" s="213"/>
      <c r="C409" s="213"/>
      <c r="D409" s="213"/>
      <c r="E409" s="213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>
      <c r="A410" s="65"/>
      <c r="B410" s="213"/>
      <c r="C410" s="213"/>
      <c r="D410" s="213"/>
      <c r="E410" s="213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>
      <c r="A411" s="65"/>
      <c r="B411" s="213"/>
      <c r="C411" s="213"/>
      <c r="D411" s="213"/>
      <c r="E411" s="213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>
      <c r="A412" s="65"/>
      <c r="B412" s="213"/>
      <c r="C412" s="213"/>
      <c r="D412" s="213"/>
      <c r="E412" s="213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>
      <c r="A413" s="65"/>
      <c r="B413" s="213"/>
      <c r="C413" s="213"/>
      <c r="D413" s="213"/>
      <c r="E413" s="213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>
      <c r="A414" s="65"/>
      <c r="B414" s="213"/>
      <c r="C414" s="213"/>
      <c r="D414" s="213"/>
      <c r="E414" s="213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>
      <c r="A415" s="65"/>
      <c r="B415" s="213"/>
      <c r="C415" s="213"/>
      <c r="D415" s="213"/>
      <c r="E415" s="213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>
      <c r="A416" s="65"/>
      <c r="B416" s="213"/>
      <c r="C416" s="213"/>
      <c r="D416" s="213"/>
      <c r="E416" s="213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>
      <c r="A417" s="65"/>
      <c r="B417" s="213"/>
      <c r="C417" s="213"/>
      <c r="D417" s="213"/>
      <c r="E417" s="213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>
      <c r="A418" s="65"/>
      <c r="B418" s="213"/>
      <c r="C418" s="213"/>
      <c r="D418" s="213"/>
      <c r="E418" s="213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>
      <c r="A419" s="65"/>
      <c r="B419" s="213"/>
      <c r="C419" s="213"/>
      <c r="D419" s="213"/>
      <c r="E419" s="213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>
      <c r="A420" s="65"/>
      <c r="B420" s="213"/>
      <c r="C420" s="213"/>
      <c r="D420" s="213"/>
      <c r="E420" s="213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>
      <c r="A421" s="65"/>
      <c r="B421" s="213"/>
      <c r="C421" s="213"/>
      <c r="D421" s="213"/>
      <c r="E421" s="213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>
      <c r="A422" s="65"/>
      <c r="B422" s="213"/>
      <c r="C422" s="213"/>
      <c r="D422" s="213"/>
      <c r="E422" s="213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>
      <c r="A423" s="65"/>
      <c r="B423" s="213"/>
      <c r="C423" s="213"/>
      <c r="D423" s="213"/>
      <c r="E423" s="213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>
      <c r="A424" s="65"/>
      <c r="B424" s="213"/>
      <c r="C424" s="213"/>
      <c r="D424" s="213"/>
      <c r="E424" s="213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>
      <c r="A425" s="65"/>
      <c r="B425" s="213"/>
      <c r="C425" s="213"/>
      <c r="D425" s="213"/>
      <c r="E425" s="213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>
      <c r="A426" s="65"/>
      <c r="B426" s="213"/>
      <c r="C426" s="213"/>
      <c r="D426" s="213"/>
      <c r="E426" s="213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>
      <c r="A427" s="65"/>
      <c r="B427" s="213"/>
      <c r="C427" s="213"/>
      <c r="D427" s="213"/>
      <c r="E427" s="213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>
      <c r="A428" s="65"/>
      <c r="B428" s="213"/>
      <c r="C428" s="213"/>
      <c r="D428" s="213"/>
      <c r="E428" s="213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>
      <c r="A429" s="65"/>
      <c r="B429" s="213"/>
      <c r="C429" s="213"/>
      <c r="D429" s="213"/>
      <c r="E429" s="213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>
      <c r="A430" s="65"/>
      <c r="B430" s="213"/>
      <c r="C430" s="213"/>
      <c r="D430" s="213"/>
      <c r="E430" s="213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>
      <c r="A431" s="65"/>
      <c r="B431" s="213"/>
      <c r="C431" s="213"/>
      <c r="D431" s="213"/>
      <c r="E431" s="213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>
      <c r="A432" s="65"/>
      <c r="B432" s="213"/>
      <c r="C432" s="213"/>
      <c r="D432" s="213"/>
      <c r="E432" s="213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>
      <c r="A433" s="65"/>
      <c r="B433" s="213"/>
      <c r="C433" s="213"/>
      <c r="D433" s="213"/>
      <c r="E433" s="213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>
      <c r="A434" s="65"/>
      <c r="B434" s="213"/>
      <c r="C434" s="213"/>
      <c r="D434" s="213"/>
      <c r="E434" s="213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>
      <c r="A435" s="65"/>
      <c r="B435" s="213"/>
      <c r="C435" s="213"/>
      <c r="D435" s="213"/>
      <c r="E435" s="213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>
      <c r="A436" s="65"/>
      <c r="B436" s="213"/>
      <c r="C436" s="213"/>
      <c r="D436" s="213"/>
      <c r="E436" s="213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>
      <c r="A437" s="65"/>
      <c r="B437" s="213"/>
      <c r="C437" s="213"/>
      <c r="D437" s="213"/>
      <c r="E437" s="213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>
      <c r="A438" s="65"/>
      <c r="B438" s="213"/>
      <c r="C438" s="213"/>
      <c r="D438" s="213"/>
      <c r="E438" s="213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>
      <c r="A439" s="65"/>
      <c r="B439" s="213"/>
      <c r="C439" s="213"/>
      <c r="D439" s="213"/>
      <c r="E439" s="213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>
      <c r="A440" s="65"/>
      <c r="B440" s="213"/>
      <c r="C440" s="213"/>
      <c r="D440" s="213"/>
      <c r="E440" s="213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>
      <c r="A441" s="65"/>
      <c r="B441" s="213"/>
      <c r="C441" s="213"/>
      <c r="D441" s="213"/>
      <c r="E441" s="213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>
      <c r="A442" s="65"/>
      <c r="B442" s="213"/>
      <c r="C442" s="213"/>
      <c r="D442" s="213"/>
      <c r="E442" s="213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>
      <c r="A443" s="65"/>
      <c r="B443" s="213"/>
      <c r="C443" s="213"/>
      <c r="D443" s="213"/>
      <c r="E443" s="213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>
      <c r="A444" s="65"/>
      <c r="B444" s="213"/>
      <c r="C444" s="213"/>
      <c r="D444" s="213"/>
      <c r="E444" s="213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>
      <c r="A445" s="65"/>
      <c r="B445" s="213"/>
      <c r="C445" s="213"/>
      <c r="D445" s="213"/>
      <c r="E445" s="213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>
      <c r="A446" s="65"/>
      <c r="B446" s="213"/>
      <c r="C446" s="213"/>
      <c r="D446" s="213"/>
      <c r="E446" s="213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>
      <c r="A447" s="65"/>
      <c r="B447" s="213"/>
      <c r="C447" s="213"/>
      <c r="D447" s="213"/>
      <c r="E447" s="213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>
      <c r="A448" s="65"/>
      <c r="B448" s="213"/>
      <c r="C448" s="213"/>
      <c r="D448" s="213"/>
      <c r="E448" s="213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>
      <c r="A449" s="65"/>
      <c r="B449" s="213"/>
      <c r="C449" s="213"/>
      <c r="D449" s="213"/>
      <c r="E449" s="213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>
      <c r="A450" s="65"/>
      <c r="B450" s="213"/>
      <c r="C450" s="213"/>
      <c r="D450" s="213"/>
      <c r="E450" s="213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>
      <c r="A451" s="65"/>
      <c r="B451" s="213"/>
      <c r="C451" s="213"/>
      <c r="D451" s="213"/>
      <c r="E451" s="213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>
      <c r="A452" s="65"/>
      <c r="B452" s="213"/>
      <c r="C452" s="213"/>
      <c r="D452" s="213"/>
      <c r="E452" s="213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>
      <c r="A453" s="65"/>
      <c r="B453" s="213"/>
      <c r="C453" s="213"/>
      <c r="D453" s="213"/>
      <c r="E453" s="213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>
      <c r="A454" s="65"/>
      <c r="B454" s="213"/>
      <c r="C454" s="213"/>
      <c r="D454" s="213"/>
      <c r="E454" s="213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>
      <c r="A455" s="65"/>
      <c r="B455" s="213"/>
      <c r="C455" s="213"/>
      <c r="D455" s="213"/>
      <c r="E455" s="213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>
      <c r="A456" s="65"/>
      <c r="B456" s="213"/>
      <c r="C456" s="213"/>
      <c r="D456" s="213"/>
      <c r="E456" s="213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>
      <c r="A457" s="65"/>
      <c r="B457" s="213"/>
      <c r="C457" s="213"/>
      <c r="D457" s="213"/>
      <c r="E457" s="213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>
      <c r="A458" s="65"/>
      <c r="B458" s="213"/>
      <c r="C458" s="213"/>
      <c r="D458" s="213"/>
      <c r="E458" s="213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>
      <c r="A459" s="65"/>
      <c r="B459" s="213"/>
      <c r="C459" s="213"/>
      <c r="D459" s="213"/>
      <c r="E459" s="213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>
      <c r="A460" s="65"/>
      <c r="B460" s="213"/>
      <c r="C460" s="213"/>
      <c r="D460" s="213"/>
      <c r="E460" s="213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>
      <c r="A461" s="65"/>
      <c r="B461" s="213"/>
      <c r="C461" s="213"/>
      <c r="D461" s="213"/>
      <c r="E461" s="213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>
      <c r="A462" s="65"/>
      <c r="B462" s="213"/>
      <c r="C462" s="213"/>
      <c r="D462" s="213"/>
      <c r="E462" s="213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>
      <c r="A463" s="65"/>
      <c r="B463" s="213"/>
      <c r="C463" s="213"/>
      <c r="D463" s="213"/>
      <c r="E463" s="213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>
      <c r="A464" s="65"/>
      <c r="B464" s="213"/>
      <c r="C464" s="213"/>
      <c r="D464" s="213"/>
      <c r="E464" s="213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>
      <c r="A465" s="65"/>
      <c r="B465" s="213"/>
      <c r="C465" s="213"/>
      <c r="D465" s="213"/>
      <c r="E465" s="213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>
      <c r="A466" s="65"/>
      <c r="B466" s="213"/>
      <c r="C466" s="213"/>
      <c r="D466" s="213"/>
      <c r="E466" s="213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>
      <c r="A467" s="65"/>
      <c r="B467" s="213"/>
      <c r="C467" s="213"/>
      <c r="D467" s="213"/>
      <c r="E467" s="213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>
      <c r="A468" s="65"/>
      <c r="B468" s="213"/>
      <c r="C468" s="213"/>
      <c r="D468" s="213"/>
      <c r="E468" s="213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>
      <c r="A469" s="65"/>
      <c r="B469" s="213"/>
      <c r="C469" s="213"/>
      <c r="D469" s="213"/>
      <c r="E469" s="213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>
      <c r="A470" s="65"/>
      <c r="B470" s="213"/>
      <c r="C470" s="213"/>
      <c r="D470" s="213"/>
      <c r="E470" s="213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>
      <c r="A471" s="65"/>
      <c r="B471" s="213"/>
      <c r="C471" s="213"/>
      <c r="D471" s="213"/>
      <c r="E471" s="213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>
      <c r="A472" s="65"/>
      <c r="B472" s="213"/>
      <c r="C472" s="213"/>
      <c r="D472" s="213"/>
      <c r="E472" s="213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>
      <c r="A473" s="65"/>
      <c r="B473" s="213"/>
      <c r="C473" s="213"/>
      <c r="D473" s="213"/>
      <c r="E473" s="213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>
      <c r="A474" s="65"/>
      <c r="B474" s="213"/>
      <c r="C474" s="213"/>
      <c r="D474" s="213"/>
      <c r="E474" s="213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>
      <c r="A475" s="65"/>
      <c r="B475" s="213"/>
      <c r="C475" s="213"/>
      <c r="D475" s="213"/>
      <c r="E475" s="213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>
      <c r="A476" s="65"/>
      <c r="B476" s="213"/>
      <c r="C476" s="213"/>
      <c r="D476" s="213"/>
      <c r="E476" s="213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>
      <c r="A477" s="65"/>
      <c r="B477" s="213"/>
      <c r="C477" s="213"/>
      <c r="D477" s="213"/>
      <c r="E477" s="213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>
      <c r="A478" s="65"/>
      <c r="B478" s="213"/>
      <c r="C478" s="213"/>
      <c r="D478" s="213"/>
      <c r="E478" s="213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>
      <c r="A479" s="65"/>
      <c r="B479" s="213"/>
      <c r="C479" s="213"/>
      <c r="D479" s="213"/>
      <c r="E479" s="213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>
      <c r="A480" s="65"/>
      <c r="B480" s="213"/>
      <c r="C480" s="213"/>
      <c r="D480" s="213"/>
      <c r="E480" s="213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>
      <c r="A481" s="65"/>
      <c r="B481" s="213"/>
      <c r="C481" s="213"/>
      <c r="D481" s="213"/>
      <c r="E481" s="213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>
      <c r="A482" s="65"/>
      <c r="B482" s="213"/>
      <c r="C482" s="213"/>
      <c r="D482" s="213"/>
      <c r="E482" s="213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>
      <c r="A483" s="65"/>
      <c r="B483" s="213"/>
      <c r="C483" s="213"/>
      <c r="D483" s="213"/>
      <c r="E483" s="213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>
      <c r="A484" s="65"/>
      <c r="B484" s="213"/>
      <c r="C484" s="213"/>
      <c r="D484" s="213"/>
      <c r="E484" s="213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>
      <c r="A485" s="65"/>
      <c r="B485" s="213"/>
      <c r="C485" s="213"/>
      <c r="D485" s="213"/>
      <c r="E485" s="213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>
      <c r="A486" s="65"/>
      <c r="B486" s="213"/>
      <c r="C486" s="213"/>
      <c r="D486" s="213"/>
      <c r="E486" s="213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>
      <c r="A487" s="65"/>
      <c r="B487" s="213"/>
      <c r="C487" s="213"/>
      <c r="D487" s="213"/>
      <c r="E487" s="213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>
      <c r="A488" s="65"/>
      <c r="B488" s="213"/>
      <c r="C488" s="213"/>
      <c r="D488" s="213"/>
      <c r="E488" s="213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>
      <c r="A489" s="65"/>
      <c r="B489" s="213"/>
      <c r="C489" s="213"/>
      <c r="D489" s="213"/>
      <c r="E489" s="213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>
      <c r="A490" s="65"/>
      <c r="B490" s="213"/>
      <c r="C490" s="213"/>
      <c r="D490" s="213"/>
      <c r="E490" s="213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>
      <c r="A491" s="65"/>
      <c r="B491" s="213"/>
      <c r="C491" s="213"/>
      <c r="D491" s="213"/>
      <c r="E491" s="213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>
      <c r="A492" s="65"/>
      <c r="B492" s="213"/>
      <c r="C492" s="213"/>
      <c r="D492" s="213"/>
      <c r="E492" s="213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>
      <c r="A493" s="65"/>
      <c r="B493" s="213"/>
      <c r="C493" s="213"/>
      <c r="D493" s="213"/>
      <c r="E493" s="213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>
      <c r="A494" s="65"/>
      <c r="B494" s="213"/>
      <c r="C494" s="213"/>
      <c r="D494" s="213"/>
      <c r="E494" s="213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>
      <c r="A495" s="65"/>
      <c r="B495" s="213"/>
      <c r="C495" s="213"/>
      <c r="D495" s="213"/>
      <c r="E495" s="213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>
      <c r="A496" s="65"/>
      <c r="B496" s="213"/>
      <c r="C496" s="213"/>
      <c r="D496" s="213"/>
      <c r="E496" s="213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>
      <c r="A497" s="65"/>
      <c r="B497" s="213"/>
      <c r="C497" s="213"/>
      <c r="D497" s="213"/>
      <c r="E497" s="213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>
      <c r="A498" s="65"/>
      <c r="B498" s="213"/>
      <c r="C498" s="213"/>
      <c r="D498" s="213"/>
      <c r="E498" s="213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>
      <c r="A499" s="65"/>
      <c r="B499" s="213"/>
      <c r="C499" s="213"/>
      <c r="D499" s="213"/>
      <c r="E499" s="213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>
      <c r="A500" s="65"/>
      <c r="B500" s="213"/>
      <c r="C500" s="213"/>
      <c r="D500" s="213"/>
      <c r="E500" s="213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>
      <c r="A501" s="65"/>
      <c r="B501" s="213"/>
      <c r="C501" s="213"/>
      <c r="D501" s="213"/>
      <c r="E501" s="213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>
      <c r="A502" s="65"/>
      <c r="B502" s="213"/>
      <c r="C502" s="213"/>
      <c r="D502" s="213"/>
      <c r="E502" s="213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>
      <c r="A503" s="65"/>
      <c r="B503" s="213"/>
      <c r="C503" s="213"/>
      <c r="D503" s="213"/>
      <c r="E503" s="213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>
      <c r="A504" s="65"/>
      <c r="B504" s="213"/>
      <c r="C504" s="213"/>
      <c r="D504" s="213"/>
      <c r="E504" s="213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>
      <c r="A505" s="65"/>
      <c r="B505" s="213"/>
      <c r="C505" s="213"/>
      <c r="D505" s="213"/>
      <c r="E505" s="213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>
      <c r="A506" s="65"/>
      <c r="B506" s="213"/>
      <c r="C506" s="213"/>
      <c r="D506" s="213"/>
      <c r="E506" s="213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>
      <c r="A507" s="65"/>
      <c r="B507" s="213"/>
      <c r="C507" s="213"/>
      <c r="D507" s="213"/>
      <c r="E507" s="213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>
      <c r="A508" s="65"/>
      <c r="B508" s="213"/>
      <c r="C508" s="213"/>
      <c r="D508" s="213"/>
      <c r="E508" s="213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>
      <c r="A509" s="65"/>
      <c r="B509" s="213"/>
      <c r="C509" s="213"/>
      <c r="D509" s="213"/>
      <c r="E509" s="213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>
      <c r="A510" s="65"/>
      <c r="B510" s="213"/>
      <c r="C510" s="213"/>
      <c r="D510" s="213"/>
      <c r="E510" s="213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>
      <c r="A511" s="65"/>
      <c r="B511" s="213"/>
      <c r="C511" s="213"/>
      <c r="D511" s="213"/>
      <c r="E511" s="213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>
      <c r="A512" s="65"/>
      <c r="B512" s="213"/>
      <c r="C512" s="213"/>
      <c r="D512" s="213"/>
      <c r="E512" s="213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>
      <c r="A513" s="65"/>
      <c r="B513" s="213"/>
      <c r="C513" s="213"/>
      <c r="D513" s="213"/>
      <c r="E513" s="213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>
      <c r="A514" s="65"/>
      <c r="B514" s="213"/>
      <c r="C514" s="213"/>
      <c r="D514" s="213"/>
      <c r="E514" s="213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>
      <c r="A515" s="65"/>
      <c r="B515" s="213"/>
      <c r="C515" s="213"/>
      <c r="D515" s="213"/>
      <c r="E515" s="213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>
      <c r="A516" s="65"/>
      <c r="B516" s="213"/>
      <c r="C516" s="213"/>
      <c r="D516" s="213"/>
      <c r="E516" s="213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>
      <c r="A517" s="65"/>
      <c r="B517" s="213"/>
      <c r="C517" s="213"/>
      <c r="D517" s="213"/>
      <c r="E517" s="213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>
      <c r="A518" s="65"/>
      <c r="B518" s="213"/>
      <c r="C518" s="213"/>
      <c r="D518" s="213"/>
      <c r="E518" s="213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>
      <c r="A519" s="65"/>
      <c r="B519" s="213"/>
      <c r="C519" s="213"/>
      <c r="D519" s="213"/>
      <c r="E519" s="213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>
      <c r="A520" s="65"/>
      <c r="B520" s="213"/>
      <c r="C520" s="213"/>
      <c r="D520" s="213"/>
      <c r="E520" s="213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>
      <c r="A521" s="65"/>
      <c r="B521" s="213"/>
      <c r="C521" s="213"/>
      <c r="D521" s="213"/>
      <c r="E521" s="213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>
      <c r="A522" s="65"/>
      <c r="B522" s="213"/>
      <c r="C522" s="213"/>
      <c r="D522" s="213"/>
      <c r="E522" s="213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>
      <c r="A523" s="65"/>
      <c r="B523" s="213"/>
      <c r="C523" s="213"/>
      <c r="D523" s="213"/>
      <c r="E523" s="213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>
      <c r="A524" s="65"/>
      <c r="B524" s="213"/>
      <c r="C524" s="213"/>
      <c r="D524" s="213"/>
      <c r="E524" s="213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>
      <c r="A525" s="65"/>
      <c r="B525" s="213"/>
      <c r="C525" s="213"/>
      <c r="D525" s="213"/>
      <c r="E525" s="213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>
      <c r="A526" s="65"/>
      <c r="B526" s="213"/>
      <c r="C526" s="213"/>
      <c r="D526" s="213"/>
      <c r="E526" s="213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>
      <c r="A527" s="65"/>
      <c r="B527" s="213"/>
      <c r="C527" s="213"/>
      <c r="D527" s="213"/>
      <c r="E527" s="213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>
      <c r="A528" s="65"/>
      <c r="B528" s="213"/>
      <c r="C528" s="213"/>
      <c r="D528" s="213"/>
      <c r="E528" s="213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>
      <c r="A529" s="65"/>
      <c r="B529" s="213"/>
      <c r="C529" s="213"/>
      <c r="D529" s="213"/>
      <c r="E529" s="213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>
      <c r="A530" s="65"/>
      <c r="B530" s="213"/>
      <c r="C530" s="213"/>
      <c r="D530" s="213"/>
      <c r="E530" s="213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>
      <c r="A531" s="65"/>
      <c r="B531" s="213"/>
      <c r="C531" s="213"/>
      <c r="D531" s="213"/>
      <c r="E531" s="213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>
      <c r="A532" s="65"/>
      <c r="B532" s="213"/>
      <c r="C532" s="213"/>
      <c r="D532" s="213"/>
      <c r="E532" s="213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>
      <c r="A533" s="65"/>
      <c r="B533" s="213"/>
      <c r="C533" s="213"/>
      <c r="D533" s="213"/>
      <c r="E533" s="213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>
      <c r="A534" s="65"/>
      <c r="B534" s="213"/>
      <c r="C534" s="213"/>
      <c r="D534" s="213"/>
      <c r="E534" s="213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>
      <c r="A535" s="65"/>
      <c r="B535" s="213"/>
      <c r="C535" s="213"/>
      <c r="D535" s="213"/>
      <c r="E535" s="213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>
      <c r="A536" s="65"/>
      <c r="B536" s="213"/>
      <c r="C536" s="213"/>
      <c r="D536" s="213"/>
      <c r="E536" s="213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>
      <c r="A537" s="65"/>
      <c r="B537" s="213"/>
      <c r="C537" s="213"/>
      <c r="D537" s="213"/>
      <c r="E537" s="213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>
      <c r="A538" s="65"/>
      <c r="B538" s="213"/>
      <c r="C538" s="213"/>
      <c r="D538" s="213"/>
      <c r="E538" s="213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>
      <c r="A539" s="65"/>
      <c r="B539" s="213"/>
      <c r="C539" s="213"/>
      <c r="D539" s="213"/>
      <c r="E539" s="213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>
      <c r="A540" s="65"/>
      <c r="B540" s="213"/>
      <c r="C540" s="213"/>
      <c r="D540" s="213"/>
      <c r="E540" s="213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>
      <c r="A541" s="65"/>
      <c r="B541" s="213"/>
      <c r="C541" s="213"/>
      <c r="D541" s="213"/>
      <c r="E541" s="213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>
      <c r="A542" s="65"/>
      <c r="B542" s="213"/>
      <c r="C542" s="213"/>
      <c r="D542" s="213"/>
      <c r="E542" s="213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>
      <c r="A543" s="65"/>
      <c r="B543" s="213"/>
      <c r="C543" s="213"/>
      <c r="D543" s="213"/>
      <c r="E543" s="213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>
      <c r="A544" s="65"/>
      <c r="B544" s="213"/>
      <c r="C544" s="213"/>
      <c r="D544" s="213"/>
      <c r="E544" s="213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>
      <c r="A545" s="65"/>
      <c r="B545" s="213"/>
      <c r="C545" s="213"/>
      <c r="D545" s="213"/>
      <c r="E545" s="213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>
      <c r="A546" s="65"/>
      <c r="B546" s="213"/>
      <c r="C546" s="213"/>
      <c r="D546" s="213"/>
      <c r="E546" s="213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>
      <c r="A547" s="65"/>
      <c r="B547" s="213"/>
      <c r="C547" s="213"/>
      <c r="D547" s="213"/>
      <c r="E547" s="213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>
      <c r="A548" s="65"/>
      <c r="B548" s="213"/>
      <c r="C548" s="213"/>
      <c r="D548" s="213"/>
      <c r="E548" s="213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>
      <c r="A549" s="65"/>
      <c r="B549" s="213"/>
      <c r="C549" s="213"/>
      <c r="D549" s="213"/>
      <c r="E549" s="213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>
      <c r="A550" s="65"/>
      <c r="B550" s="213"/>
      <c r="C550" s="213"/>
      <c r="D550" s="213"/>
      <c r="E550" s="213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>
      <c r="A551" s="65"/>
      <c r="B551" s="213"/>
      <c r="C551" s="213"/>
      <c r="D551" s="213"/>
      <c r="E551" s="213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>
      <c r="A552" s="65"/>
      <c r="B552" s="213"/>
      <c r="C552" s="213"/>
      <c r="D552" s="213"/>
      <c r="E552" s="213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>
      <c r="A553" s="65"/>
      <c r="B553" s="213"/>
      <c r="C553" s="213"/>
      <c r="D553" s="213"/>
      <c r="E553" s="213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>
      <c r="A554" s="65"/>
      <c r="B554" s="213"/>
      <c r="C554" s="213"/>
      <c r="D554" s="213"/>
      <c r="E554" s="213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>
      <c r="A555" s="65"/>
      <c r="B555" s="213"/>
      <c r="C555" s="213"/>
      <c r="D555" s="213"/>
      <c r="E555" s="213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>
      <c r="A556" s="65"/>
      <c r="B556" s="213"/>
      <c r="C556" s="213"/>
      <c r="D556" s="213"/>
      <c r="E556" s="213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>
      <c r="A557" s="65"/>
      <c r="B557" s="213"/>
      <c r="C557" s="213"/>
      <c r="D557" s="213"/>
      <c r="E557" s="213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>
      <c r="A558" s="65"/>
      <c r="B558" s="213"/>
      <c r="C558" s="213"/>
      <c r="D558" s="213"/>
      <c r="E558" s="213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>
      <c r="A559" s="65"/>
      <c r="B559" s="213"/>
      <c r="C559" s="213"/>
      <c r="D559" s="213"/>
      <c r="E559" s="213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>
      <c r="A560" s="65"/>
      <c r="B560" s="213"/>
      <c r="C560" s="213"/>
      <c r="D560" s="213"/>
      <c r="E560" s="213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>
      <c r="A561" s="65"/>
      <c r="B561" s="213"/>
      <c r="C561" s="213"/>
      <c r="D561" s="213"/>
      <c r="E561" s="213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>
      <c r="A562" s="65"/>
      <c r="B562" s="213"/>
      <c r="C562" s="213"/>
      <c r="D562" s="213"/>
      <c r="E562" s="213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>
      <c r="A563" s="65"/>
      <c r="B563" s="213"/>
      <c r="C563" s="213"/>
      <c r="D563" s="213"/>
      <c r="E563" s="213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>
      <c r="A564" s="65"/>
      <c r="B564" s="213"/>
      <c r="C564" s="213"/>
      <c r="D564" s="213"/>
      <c r="E564" s="213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>
      <c r="A565" s="65"/>
      <c r="B565" s="213"/>
      <c r="C565" s="213"/>
      <c r="D565" s="213"/>
      <c r="E565" s="213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>
      <c r="A566" s="65"/>
      <c r="B566" s="213"/>
      <c r="C566" s="213"/>
      <c r="D566" s="213"/>
      <c r="E566" s="213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>
      <c r="A567" s="65"/>
      <c r="B567" s="213"/>
      <c r="C567" s="213"/>
      <c r="D567" s="213"/>
      <c r="E567" s="213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>
      <c r="A568" s="65"/>
      <c r="B568" s="213"/>
      <c r="C568" s="213"/>
      <c r="D568" s="213"/>
      <c r="E568" s="213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>
      <c r="A569" s="65"/>
      <c r="B569" s="213"/>
      <c r="C569" s="213"/>
      <c r="D569" s="213"/>
      <c r="E569" s="213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>
      <c r="A570" s="65"/>
      <c r="B570" s="213"/>
      <c r="C570" s="213"/>
      <c r="D570" s="213"/>
      <c r="E570" s="213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>
      <c r="A571" s="65"/>
      <c r="B571" s="213"/>
      <c r="C571" s="213"/>
      <c r="D571" s="213"/>
      <c r="E571" s="213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>
      <c r="A572" s="65"/>
      <c r="B572" s="213"/>
      <c r="C572" s="213"/>
      <c r="D572" s="213"/>
      <c r="E572" s="213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>
      <c r="A573" s="65"/>
      <c r="B573" s="213"/>
      <c r="C573" s="213"/>
      <c r="D573" s="213"/>
      <c r="E573" s="213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>
      <c r="A574" s="65"/>
      <c r="B574" s="213"/>
      <c r="C574" s="213"/>
      <c r="D574" s="213"/>
      <c r="E574" s="213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>
      <c r="A575" s="65"/>
      <c r="B575" s="213"/>
      <c r="C575" s="213"/>
      <c r="D575" s="213"/>
      <c r="E575" s="213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>
      <c r="A576" s="65"/>
      <c r="B576" s="213"/>
      <c r="C576" s="213"/>
      <c r="D576" s="213"/>
      <c r="E576" s="213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>
      <c r="A577" s="65"/>
      <c r="B577" s="213"/>
      <c r="C577" s="213"/>
      <c r="D577" s="213"/>
      <c r="E577" s="213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>
      <c r="A578" s="65"/>
      <c r="B578" s="213"/>
      <c r="C578" s="213"/>
      <c r="D578" s="213"/>
      <c r="E578" s="213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>
      <c r="A579" s="65"/>
      <c r="B579" s="213"/>
      <c r="C579" s="213"/>
      <c r="D579" s="213"/>
      <c r="E579" s="213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>
      <c r="A580" s="65"/>
      <c r="B580" s="213"/>
      <c r="C580" s="213"/>
      <c r="D580" s="213"/>
      <c r="E580" s="213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>
      <c r="A581" s="65"/>
      <c r="B581" s="213"/>
      <c r="C581" s="213"/>
      <c r="D581" s="213"/>
      <c r="E581" s="213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>
      <c r="A582" s="65"/>
      <c r="B582" s="213"/>
      <c r="C582" s="213"/>
      <c r="D582" s="213"/>
      <c r="E582" s="213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>
      <c r="A583" s="65"/>
      <c r="B583" s="213"/>
      <c r="C583" s="213"/>
      <c r="D583" s="213"/>
      <c r="E583" s="213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>
      <c r="A584" s="65"/>
      <c r="B584" s="213"/>
      <c r="C584" s="213"/>
      <c r="D584" s="213"/>
      <c r="E584" s="213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>
      <c r="A585" s="65"/>
      <c r="B585" s="213"/>
      <c r="C585" s="213"/>
      <c r="D585" s="213"/>
      <c r="E585" s="213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>
      <c r="A586" s="65"/>
      <c r="B586" s="213"/>
      <c r="C586" s="213"/>
      <c r="D586" s="213"/>
      <c r="E586" s="213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>
      <c r="A587" s="65"/>
      <c r="B587" s="213"/>
      <c r="C587" s="213"/>
      <c r="D587" s="213"/>
      <c r="E587" s="213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>
      <c r="A588" s="65"/>
      <c r="B588" s="213"/>
      <c r="C588" s="213"/>
      <c r="D588" s="213"/>
      <c r="E588" s="213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>
      <c r="A589" s="65"/>
      <c r="B589" s="213"/>
      <c r="C589" s="213"/>
      <c r="D589" s="213"/>
      <c r="E589" s="213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>
      <c r="A590" s="65"/>
      <c r="B590" s="213"/>
      <c r="C590" s="213"/>
      <c r="D590" s="213"/>
      <c r="E590" s="213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>
      <c r="A591" s="65"/>
      <c r="B591" s="213"/>
      <c r="C591" s="213"/>
      <c r="D591" s="213"/>
      <c r="E591" s="213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>
      <c r="A592" s="65"/>
      <c r="B592" s="213"/>
      <c r="C592" s="213"/>
      <c r="D592" s="213"/>
      <c r="E592" s="213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>
      <c r="A593" s="65"/>
      <c r="B593" s="213"/>
      <c r="C593" s="213"/>
      <c r="D593" s="213"/>
      <c r="E593" s="213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>
      <c r="A594" s="65"/>
      <c r="B594" s="213"/>
      <c r="C594" s="213"/>
      <c r="D594" s="213"/>
      <c r="E594" s="213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>
      <c r="A595" s="65"/>
      <c r="B595" s="213"/>
      <c r="C595" s="213"/>
      <c r="D595" s="213"/>
      <c r="E595" s="213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>
      <c r="A596" s="65"/>
      <c r="B596" s="213"/>
      <c r="C596" s="213"/>
      <c r="D596" s="213"/>
      <c r="E596" s="213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>
      <c r="A597" s="65"/>
      <c r="B597" s="213"/>
      <c r="C597" s="213"/>
      <c r="D597" s="213"/>
      <c r="E597" s="213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>
      <c r="A598" s="65"/>
      <c r="B598" s="213"/>
      <c r="C598" s="213"/>
      <c r="D598" s="213"/>
      <c r="E598" s="213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>
      <c r="A599" s="65"/>
      <c r="B599" s="213"/>
      <c r="C599" s="213"/>
      <c r="D599" s="213"/>
      <c r="E599" s="213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>
      <c r="A600" s="65"/>
      <c r="B600" s="213"/>
      <c r="C600" s="213"/>
      <c r="D600" s="213"/>
      <c r="E600" s="213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>
      <c r="A601" s="65"/>
      <c r="B601" s="213"/>
      <c r="C601" s="213"/>
      <c r="D601" s="213"/>
      <c r="E601" s="213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>
      <c r="A602" s="65"/>
      <c r="B602" s="213"/>
      <c r="C602" s="213"/>
      <c r="D602" s="213"/>
      <c r="E602" s="213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>
      <c r="A603" s="65"/>
      <c r="B603" s="213"/>
      <c r="C603" s="213"/>
      <c r="D603" s="213"/>
      <c r="E603" s="213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>
      <c r="A604" s="65"/>
      <c r="B604" s="213"/>
      <c r="C604" s="213"/>
      <c r="D604" s="213"/>
      <c r="E604" s="213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>
      <c r="A605" s="65"/>
      <c r="B605" s="213"/>
      <c r="C605" s="213"/>
      <c r="D605" s="213"/>
      <c r="E605" s="213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>
      <c r="A606" s="65"/>
      <c r="B606" s="213"/>
      <c r="C606" s="213"/>
      <c r="D606" s="213"/>
      <c r="E606" s="213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>
      <c r="A607" s="65"/>
      <c r="B607" s="213"/>
      <c r="C607" s="213"/>
      <c r="D607" s="213"/>
      <c r="E607" s="213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>
      <c r="A608" s="65"/>
      <c r="B608" s="213"/>
      <c r="C608" s="213"/>
      <c r="D608" s="213"/>
      <c r="E608" s="213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>
      <c r="A609" s="65"/>
      <c r="B609" s="213"/>
      <c r="C609" s="213"/>
      <c r="D609" s="213"/>
      <c r="E609" s="213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>
      <c r="A610" s="65"/>
      <c r="B610" s="213"/>
      <c r="C610" s="213"/>
      <c r="D610" s="213"/>
      <c r="E610" s="213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>
      <c r="A611" s="65"/>
      <c r="B611" s="213"/>
      <c r="C611" s="213"/>
      <c r="D611" s="213"/>
      <c r="E611" s="213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>
      <c r="A612" s="65"/>
      <c r="B612" s="213"/>
      <c r="C612" s="213"/>
      <c r="D612" s="213"/>
      <c r="E612" s="213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>
      <c r="A613" s="65"/>
      <c r="B613" s="213"/>
      <c r="C613" s="213"/>
      <c r="D613" s="213"/>
      <c r="E613" s="213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>
      <c r="A614" s="65"/>
      <c r="B614" s="213"/>
      <c r="C614" s="213"/>
      <c r="D614" s="213"/>
      <c r="E614" s="213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>
      <c r="A615" s="65"/>
      <c r="B615" s="213"/>
      <c r="C615" s="213"/>
      <c r="D615" s="213"/>
      <c r="E615" s="213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>
      <c r="A616" s="65"/>
      <c r="B616" s="213"/>
      <c r="C616" s="213"/>
      <c r="D616" s="213"/>
      <c r="E616" s="213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>
      <c r="A617" s="65"/>
      <c r="B617" s="213"/>
      <c r="C617" s="213"/>
      <c r="D617" s="213"/>
      <c r="E617" s="213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>
      <c r="A618" s="65"/>
      <c r="B618" s="213"/>
      <c r="C618" s="213"/>
      <c r="D618" s="213"/>
      <c r="E618" s="213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>
      <c r="A619" s="65"/>
      <c r="B619" s="213"/>
      <c r="C619" s="213"/>
      <c r="D619" s="213"/>
      <c r="E619" s="213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>
      <c r="A620" s="65"/>
      <c r="B620" s="213"/>
      <c r="C620" s="213"/>
      <c r="D620" s="213"/>
      <c r="E620" s="213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>
      <c r="A621" s="65"/>
      <c r="B621" s="213"/>
      <c r="C621" s="213"/>
      <c r="D621" s="213"/>
      <c r="E621" s="213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>
      <c r="A622" s="65"/>
      <c r="B622" s="213"/>
      <c r="C622" s="213"/>
      <c r="D622" s="213"/>
      <c r="E622" s="213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>
      <c r="A623" s="65"/>
      <c r="B623" s="213"/>
      <c r="C623" s="213"/>
      <c r="D623" s="213"/>
      <c r="E623" s="213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>
      <c r="A624" s="65"/>
      <c r="B624" s="213"/>
      <c r="C624" s="213"/>
      <c r="D624" s="213"/>
      <c r="E624" s="213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>
      <c r="A625" s="65"/>
      <c r="B625" s="213"/>
      <c r="C625" s="213"/>
      <c r="D625" s="213"/>
      <c r="E625" s="213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>
      <c r="A626" s="65"/>
      <c r="B626" s="213"/>
      <c r="C626" s="213"/>
      <c r="D626" s="213"/>
      <c r="E626" s="213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>
      <c r="A627" s="65"/>
      <c r="B627" s="213"/>
      <c r="C627" s="213"/>
      <c r="D627" s="213"/>
      <c r="E627" s="213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>
      <c r="A628" s="65"/>
      <c r="B628" s="213"/>
      <c r="C628" s="213"/>
      <c r="D628" s="213"/>
      <c r="E628" s="213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>
      <c r="A629" s="65"/>
      <c r="B629" s="213"/>
      <c r="C629" s="213"/>
      <c r="D629" s="213"/>
      <c r="E629" s="213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>
      <c r="A630" s="65"/>
      <c r="B630" s="213"/>
      <c r="C630" s="213"/>
      <c r="D630" s="213"/>
      <c r="E630" s="213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>
      <c r="A631" s="65"/>
      <c r="B631" s="213"/>
      <c r="C631" s="213"/>
      <c r="D631" s="213"/>
      <c r="E631" s="213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>
      <c r="A632" s="65"/>
      <c r="B632" s="213"/>
      <c r="C632" s="213"/>
      <c r="D632" s="213"/>
      <c r="E632" s="213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>
      <c r="A633" s="65"/>
      <c r="B633" s="213"/>
      <c r="C633" s="213"/>
      <c r="D633" s="213"/>
      <c r="E633" s="213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>
      <c r="A634" s="65"/>
      <c r="B634" s="213"/>
      <c r="C634" s="213"/>
      <c r="D634" s="213"/>
      <c r="E634" s="213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>
      <c r="A635" s="65"/>
      <c r="B635" s="213"/>
      <c r="C635" s="213"/>
      <c r="D635" s="213"/>
      <c r="E635" s="213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>
      <c r="A636" s="65"/>
      <c r="B636" s="213"/>
      <c r="C636" s="213"/>
      <c r="D636" s="213"/>
      <c r="E636" s="213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>
      <c r="A637" s="65"/>
      <c r="B637" s="213"/>
      <c r="C637" s="213"/>
      <c r="D637" s="213"/>
      <c r="E637" s="213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>
      <c r="A638" s="65"/>
      <c r="B638" s="213"/>
      <c r="C638" s="213"/>
      <c r="D638" s="213"/>
      <c r="E638" s="213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>
      <c r="A639" s="65"/>
      <c r="B639" s="213"/>
      <c r="C639" s="213"/>
      <c r="D639" s="213"/>
      <c r="E639" s="213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>
      <c r="A640" s="65"/>
      <c r="B640" s="213"/>
      <c r="C640" s="213"/>
      <c r="D640" s="213"/>
      <c r="E640" s="213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>
      <c r="A641" s="65"/>
      <c r="B641" s="213"/>
      <c r="C641" s="213"/>
      <c r="D641" s="213"/>
      <c r="E641" s="213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>
      <c r="A642" s="65"/>
      <c r="B642" s="213"/>
      <c r="C642" s="213"/>
      <c r="D642" s="213"/>
      <c r="E642" s="213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>
      <c r="A643" s="65"/>
      <c r="B643" s="213"/>
      <c r="C643" s="213"/>
      <c r="D643" s="213"/>
      <c r="E643" s="213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>
      <c r="A644" s="65"/>
      <c r="B644" s="213"/>
      <c r="C644" s="213"/>
      <c r="D644" s="213"/>
      <c r="E644" s="213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>
      <c r="A645" s="65"/>
      <c r="B645" s="213"/>
      <c r="C645" s="213"/>
      <c r="D645" s="213"/>
      <c r="E645" s="213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>
      <c r="A646" s="65"/>
      <c r="B646" s="213"/>
      <c r="C646" s="213"/>
      <c r="D646" s="213"/>
      <c r="E646" s="213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>
      <c r="A647" s="65"/>
      <c r="B647" s="213"/>
      <c r="C647" s="213"/>
      <c r="D647" s="213"/>
      <c r="E647" s="213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>
      <c r="A648" s="65"/>
      <c r="B648" s="213"/>
      <c r="C648" s="213"/>
      <c r="D648" s="213"/>
      <c r="E648" s="213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>
      <c r="A649" s="65"/>
      <c r="B649" s="213"/>
      <c r="C649" s="213"/>
      <c r="D649" s="213"/>
      <c r="E649" s="213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>
      <c r="A650" s="65"/>
      <c r="B650" s="213"/>
      <c r="C650" s="213"/>
      <c r="D650" s="213"/>
      <c r="E650" s="213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>
      <c r="A651" s="65"/>
      <c r="B651" s="213"/>
      <c r="C651" s="213"/>
      <c r="D651" s="213"/>
      <c r="E651" s="213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>
      <c r="A652" s="65"/>
      <c r="B652" s="213"/>
      <c r="C652" s="213"/>
      <c r="D652" s="213"/>
      <c r="E652" s="213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>
      <c r="A653" s="65"/>
      <c r="B653" s="213"/>
      <c r="C653" s="213"/>
      <c r="D653" s="213"/>
      <c r="E653" s="213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>
      <c r="A654" s="65"/>
      <c r="B654" s="213"/>
      <c r="C654" s="213"/>
      <c r="D654" s="213"/>
      <c r="E654" s="213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>
      <c r="A655" s="65"/>
      <c r="B655" s="213"/>
      <c r="C655" s="213"/>
      <c r="D655" s="213"/>
      <c r="E655" s="213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>
      <c r="A656" s="65"/>
      <c r="B656" s="213"/>
      <c r="C656" s="213"/>
      <c r="D656" s="213"/>
      <c r="E656" s="213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>
      <c r="A657" s="65"/>
      <c r="B657" s="213"/>
      <c r="C657" s="213"/>
      <c r="D657" s="213"/>
      <c r="E657" s="213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>
      <c r="A658" s="65"/>
      <c r="B658" s="213"/>
      <c r="C658" s="213"/>
      <c r="D658" s="213"/>
      <c r="E658" s="213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>
      <c r="A659" s="65"/>
      <c r="B659" s="213"/>
      <c r="C659" s="213"/>
      <c r="D659" s="213"/>
      <c r="E659" s="213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>
      <c r="A660" s="65"/>
      <c r="B660" s="213"/>
      <c r="C660" s="213"/>
      <c r="D660" s="213"/>
      <c r="E660" s="213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>
      <c r="A661" s="65"/>
      <c r="B661" s="213"/>
      <c r="C661" s="213"/>
      <c r="D661" s="213"/>
      <c r="E661" s="213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>
      <c r="A662" s="65"/>
      <c r="B662" s="213"/>
      <c r="C662" s="213"/>
      <c r="D662" s="213"/>
      <c r="E662" s="213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>
      <c r="A663" s="65"/>
      <c r="B663" s="213"/>
      <c r="C663" s="213"/>
      <c r="D663" s="213"/>
      <c r="E663" s="213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>
      <c r="A664" s="65"/>
      <c r="B664" s="213"/>
      <c r="C664" s="213"/>
      <c r="D664" s="213"/>
      <c r="E664" s="213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>
      <c r="A665" s="65"/>
      <c r="B665" s="213"/>
      <c r="C665" s="213"/>
      <c r="D665" s="213"/>
      <c r="E665" s="213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>
      <c r="A666" s="65"/>
      <c r="B666" s="213"/>
      <c r="C666" s="213"/>
      <c r="D666" s="213"/>
      <c r="E666" s="213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>
      <c r="A667" s="65"/>
      <c r="B667" s="213"/>
      <c r="C667" s="213"/>
      <c r="D667" s="213"/>
      <c r="E667" s="213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>
      <c r="A668" s="65"/>
      <c r="B668" s="213"/>
      <c r="C668" s="213"/>
      <c r="D668" s="213"/>
      <c r="E668" s="213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>
      <c r="A669" s="65"/>
      <c r="B669" s="213"/>
      <c r="C669" s="213"/>
      <c r="D669" s="213"/>
      <c r="E669" s="213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>
      <c r="A670" s="65"/>
      <c r="B670" s="213"/>
      <c r="C670" s="213"/>
      <c r="D670" s="213"/>
      <c r="E670" s="213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>
      <c r="A671" s="65"/>
      <c r="B671" s="213"/>
      <c r="C671" s="213"/>
      <c r="D671" s="213"/>
      <c r="E671" s="213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>
      <c r="A672" s="65"/>
      <c r="B672" s="213"/>
      <c r="C672" s="213"/>
      <c r="D672" s="213"/>
      <c r="E672" s="213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>
      <c r="A673" s="65"/>
      <c r="B673" s="213"/>
      <c r="C673" s="213"/>
      <c r="D673" s="213"/>
      <c r="E673" s="213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>
      <c r="A674" s="65"/>
      <c r="B674" s="213"/>
      <c r="C674" s="213"/>
      <c r="D674" s="213"/>
      <c r="E674" s="213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>
      <c r="A675" s="65"/>
      <c r="B675" s="213"/>
      <c r="C675" s="213"/>
      <c r="D675" s="213"/>
      <c r="E675" s="213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>
      <c r="A676" s="65"/>
      <c r="B676" s="213"/>
      <c r="C676" s="213"/>
      <c r="D676" s="213"/>
      <c r="E676" s="213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>
      <c r="A677" s="65"/>
      <c r="B677" s="213"/>
      <c r="C677" s="213"/>
      <c r="D677" s="213"/>
      <c r="E677" s="213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>
      <c r="A678" s="65"/>
      <c r="B678" s="213"/>
      <c r="C678" s="213"/>
      <c r="D678" s="213"/>
      <c r="E678" s="213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>
      <c r="A679" s="65"/>
      <c r="B679" s="213"/>
      <c r="C679" s="213"/>
      <c r="D679" s="213"/>
      <c r="E679" s="213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>
      <c r="A680" s="65"/>
      <c r="B680" s="213"/>
      <c r="C680" s="213"/>
      <c r="D680" s="213"/>
      <c r="E680" s="213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>
      <c r="A681" s="65"/>
      <c r="B681" s="213"/>
      <c r="C681" s="213"/>
      <c r="D681" s="213"/>
      <c r="E681" s="213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>
      <c r="A682" s="65"/>
      <c r="B682" s="213"/>
      <c r="C682" s="213"/>
      <c r="D682" s="213"/>
      <c r="E682" s="213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>
      <c r="A683" s="65"/>
      <c r="B683" s="213"/>
      <c r="C683" s="213"/>
      <c r="D683" s="213"/>
      <c r="E683" s="213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>
      <c r="A684" s="65"/>
      <c r="B684" s="213"/>
      <c r="C684" s="213"/>
      <c r="D684" s="213"/>
      <c r="E684" s="213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>
      <c r="A685" s="65"/>
      <c r="B685" s="213"/>
      <c r="C685" s="213"/>
      <c r="D685" s="213"/>
      <c r="E685" s="213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>
      <c r="A686" s="65"/>
      <c r="B686" s="213"/>
      <c r="C686" s="213"/>
      <c r="D686" s="213"/>
      <c r="E686" s="213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>
      <c r="A687" s="65"/>
      <c r="B687" s="213"/>
      <c r="C687" s="213"/>
      <c r="D687" s="213"/>
      <c r="E687" s="213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>
      <c r="A688" s="65"/>
      <c r="B688" s="213"/>
      <c r="C688" s="213"/>
      <c r="D688" s="213"/>
      <c r="E688" s="213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>
      <c r="A689" s="65"/>
      <c r="B689" s="213"/>
      <c r="C689" s="213"/>
      <c r="D689" s="213"/>
      <c r="E689" s="213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>
      <c r="A690" s="65"/>
      <c r="B690" s="213"/>
      <c r="C690" s="213"/>
      <c r="D690" s="213"/>
      <c r="E690" s="213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>
      <c r="A691" s="65"/>
      <c r="B691" s="213"/>
      <c r="C691" s="213"/>
      <c r="D691" s="213"/>
      <c r="E691" s="213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>
      <c r="A692" s="65"/>
      <c r="B692" s="213"/>
      <c r="C692" s="213"/>
      <c r="D692" s="213"/>
      <c r="E692" s="213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>
      <c r="A693" s="65"/>
      <c r="B693" s="213"/>
      <c r="C693" s="213"/>
      <c r="D693" s="213"/>
      <c r="E693" s="213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>
      <c r="A694" s="65"/>
      <c r="B694" s="213"/>
      <c r="C694" s="213"/>
      <c r="D694" s="213"/>
      <c r="E694" s="213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>
      <c r="A695" s="65"/>
      <c r="B695" s="213"/>
      <c r="C695" s="213"/>
      <c r="D695" s="213"/>
      <c r="E695" s="213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>
      <c r="A696" s="65"/>
      <c r="B696" s="213"/>
      <c r="C696" s="213"/>
      <c r="D696" s="213"/>
      <c r="E696" s="213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>
      <c r="A697" s="65"/>
      <c r="B697" s="213"/>
      <c r="C697" s="213"/>
      <c r="D697" s="213"/>
      <c r="E697" s="213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>
      <c r="A698" s="65"/>
      <c r="B698" s="213"/>
      <c r="C698" s="213"/>
      <c r="D698" s="213"/>
      <c r="E698" s="213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>
      <c r="A699" s="65"/>
      <c r="B699" s="213"/>
      <c r="C699" s="213"/>
      <c r="D699" s="213"/>
      <c r="E699" s="213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>
      <c r="A700" s="65"/>
      <c r="B700" s="213"/>
      <c r="C700" s="213"/>
      <c r="D700" s="213"/>
      <c r="E700" s="213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>
      <c r="A701" s="65"/>
      <c r="B701" s="213"/>
      <c r="C701" s="213"/>
      <c r="D701" s="213"/>
      <c r="E701" s="213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>
      <c r="A702" s="65"/>
      <c r="B702" s="213"/>
      <c r="C702" s="213"/>
      <c r="D702" s="213"/>
      <c r="E702" s="213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>
      <c r="A703" s="65"/>
      <c r="B703" s="213"/>
      <c r="C703" s="213"/>
      <c r="D703" s="213"/>
      <c r="E703" s="213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>
      <c r="A704" s="65"/>
      <c r="B704" s="213"/>
      <c r="C704" s="213"/>
      <c r="D704" s="213"/>
      <c r="E704" s="213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>
      <c r="A705" s="65"/>
      <c r="B705" s="213"/>
      <c r="C705" s="213"/>
      <c r="D705" s="213"/>
      <c r="E705" s="213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>
      <c r="A706" s="65"/>
      <c r="B706" s="213"/>
      <c r="C706" s="213"/>
      <c r="D706" s="213"/>
      <c r="E706" s="213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>
      <c r="A707" s="65"/>
      <c r="B707" s="213"/>
      <c r="C707" s="213"/>
      <c r="D707" s="213"/>
      <c r="E707" s="213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>
      <c r="A708" s="65"/>
      <c r="B708" s="213"/>
      <c r="C708" s="213"/>
      <c r="D708" s="213"/>
      <c r="E708" s="213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>
      <c r="A709" s="65"/>
      <c r="B709" s="213"/>
      <c r="C709" s="213"/>
      <c r="D709" s="213"/>
      <c r="E709" s="213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>
      <c r="A710" s="65"/>
      <c r="B710" s="213"/>
      <c r="C710" s="213"/>
      <c r="D710" s="213"/>
      <c r="E710" s="213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>
      <c r="A711" s="65"/>
      <c r="B711" s="213"/>
      <c r="C711" s="213"/>
      <c r="D711" s="213"/>
      <c r="E711" s="213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>
      <c r="A712" s="65"/>
      <c r="B712" s="213"/>
      <c r="C712" s="213"/>
      <c r="D712" s="213"/>
      <c r="E712" s="213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>
      <c r="A713" s="65"/>
      <c r="B713" s="213"/>
      <c r="C713" s="213"/>
      <c r="D713" s="213"/>
      <c r="E713" s="213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>
      <c r="A714" s="65"/>
      <c r="B714" s="213"/>
      <c r="C714" s="213"/>
      <c r="D714" s="213"/>
      <c r="E714" s="213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>
      <c r="A715" s="65"/>
      <c r="B715" s="213"/>
      <c r="C715" s="213"/>
      <c r="D715" s="213"/>
      <c r="E715" s="213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>
      <c r="A716" s="65"/>
      <c r="B716" s="213"/>
      <c r="C716" s="213"/>
      <c r="D716" s="213"/>
      <c r="E716" s="213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>
      <c r="A717" s="65"/>
      <c r="B717" s="213"/>
      <c r="C717" s="213"/>
      <c r="D717" s="213"/>
      <c r="E717" s="213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>
      <c r="A718" s="65"/>
      <c r="B718" s="213"/>
      <c r="C718" s="213"/>
      <c r="D718" s="213"/>
      <c r="E718" s="213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>
      <c r="A719" s="65"/>
      <c r="B719" s="213"/>
      <c r="C719" s="213"/>
      <c r="D719" s="213"/>
      <c r="E719" s="213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>
      <c r="A720" s="65"/>
      <c r="B720" s="213"/>
      <c r="C720" s="213"/>
      <c r="D720" s="213"/>
      <c r="E720" s="213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>
      <c r="A721" s="65"/>
      <c r="B721" s="213"/>
      <c r="C721" s="213"/>
      <c r="D721" s="213"/>
      <c r="E721" s="213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>
      <c r="A722" s="65"/>
      <c r="B722" s="213"/>
      <c r="C722" s="213"/>
      <c r="D722" s="213"/>
      <c r="E722" s="213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>
      <c r="A723" s="65"/>
      <c r="B723" s="213"/>
      <c r="C723" s="213"/>
      <c r="D723" s="213"/>
      <c r="E723" s="213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>
      <c r="A724" s="65"/>
      <c r="B724" s="213"/>
      <c r="C724" s="213"/>
      <c r="D724" s="213"/>
      <c r="E724" s="213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>
      <c r="A725" s="65"/>
      <c r="B725" s="213"/>
      <c r="C725" s="213"/>
      <c r="D725" s="213"/>
      <c r="E725" s="213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>
      <c r="A726" s="65"/>
      <c r="B726" s="213"/>
      <c r="C726" s="213"/>
      <c r="D726" s="213"/>
      <c r="E726" s="213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>
      <c r="A727" s="65"/>
      <c r="B727" s="213"/>
      <c r="C727" s="213"/>
      <c r="D727" s="213"/>
      <c r="E727" s="213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>
      <c r="A728" s="65"/>
      <c r="B728" s="213"/>
      <c r="C728" s="213"/>
      <c r="D728" s="213"/>
      <c r="E728" s="213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>
      <c r="A729" s="65"/>
      <c r="B729" s="213"/>
      <c r="C729" s="213"/>
      <c r="D729" s="213"/>
      <c r="E729" s="213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>
      <c r="A730" s="65"/>
      <c r="B730" s="213"/>
      <c r="C730" s="213"/>
      <c r="D730" s="213"/>
      <c r="E730" s="213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>
      <c r="A731" s="65"/>
      <c r="B731" s="213"/>
      <c r="C731" s="213"/>
      <c r="D731" s="213"/>
      <c r="E731" s="213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>
      <c r="A732" s="65"/>
      <c r="B732" s="213"/>
      <c r="C732" s="213"/>
      <c r="D732" s="213"/>
      <c r="E732" s="213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>
      <c r="A733" s="65"/>
      <c r="B733" s="213"/>
      <c r="C733" s="213"/>
      <c r="D733" s="213"/>
      <c r="E733" s="213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>
      <c r="A734" s="65"/>
      <c r="B734" s="213"/>
      <c r="C734" s="213"/>
      <c r="D734" s="213"/>
      <c r="E734" s="213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>
      <c r="A735" s="65"/>
      <c r="B735" s="213"/>
      <c r="C735" s="213"/>
      <c r="D735" s="213"/>
      <c r="E735" s="213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>
      <c r="A736" s="65"/>
      <c r="B736" s="213"/>
      <c r="C736" s="213"/>
      <c r="D736" s="213"/>
      <c r="E736" s="213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>
      <c r="A737" s="65"/>
      <c r="B737" s="213"/>
      <c r="C737" s="213"/>
      <c r="D737" s="213"/>
      <c r="E737" s="213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>
      <c r="A738" s="65"/>
      <c r="B738" s="213"/>
      <c r="C738" s="213"/>
      <c r="D738" s="213"/>
      <c r="E738" s="213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>
      <c r="A739" s="65"/>
      <c r="B739" s="213"/>
      <c r="C739" s="213"/>
      <c r="D739" s="213"/>
      <c r="E739" s="213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>
      <c r="A740" s="65"/>
      <c r="B740" s="213"/>
      <c r="C740" s="213"/>
      <c r="D740" s="213"/>
      <c r="E740" s="213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>
      <c r="A741" s="65"/>
      <c r="B741" s="213"/>
      <c r="C741" s="213"/>
      <c r="D741" s="213"/>
      <c r="E741" s="213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>
      <c r="A742" s="65"/>
      <c r="B742" s="213"/>
      <c r="C742" s="213"/>
      <c r="D742" s="213"/>
      <c r="E742" s="213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>
      <c r="A743" s="65"/>
      <c r="B743" s="213"/>
      <c r="C743" s="213"/>
      <c r="D743" s="213"/>
      <c r="E743" s="213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>
      <c r="A744" s="65"/>
      <c r="B744" s="213"/>
      <c r="C744" s="213"/>
      <c r="D744" s="213"/>
      <c r="E744" s="213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>
      <c r="A745" s="65"/>
      <c r="B745" s="213"/>
      <c r="C745" s="213"/>
      <c r="D745" s="213"/>
      <c r="E745" s="213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>
      <c r="A746" s="65"/>
      <c r="B746" s="213"/>
      <c r="C746" s="213"/>
      <c r="D746" s="213"/>
      <c r="E746" s="213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>
      <c r="A747" s="65"/>
      <c r="B747" s="213"/>
      <c r="C747" s="213"/>
      <c r="D747" s="213"/>
      <c r="E747" s="213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>
      <c r="A748" s="65"/>
      <c r="B748" s="213"/>
      <c r="C748" s="213"/>
      <c r="D748" s="213"/>
      <c r="E748" s="213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>
      <c r="A749" s="65"/>
      <c r="B749" s="213"/>
      <c r="C749" s="213"/>
      <c r="D749" s="213"/>
      <c r="E749" s="213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>
      <c r="A750" s="65"/>
      <c r="B750" s="213"/>
      <c r="C750" s="213"/>
      <c r="D750" s="213"/>
      <c r="E750" s="213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>
      <c r="A751" s="65"/>
      <c r="B751" s="213"/>
      <c r="C751" s="213"/>
      <c r="D751" s="213"/>
      <c r="E751" s="213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>
      <c r="A752" s="65"/>
      <c r="B752" s="213"/>
      <c r="C752" s="213"/>
      <c r="D752" s="213"/>
      <c r="E752" s="213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>
      <c r="A753" s="65"/>
      <c r="B753" s="213"/>
      <c r="C753" s="213"/>
      <c r="D753" s="213"/>
      <c r="E753" s="213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>
      <c r="A754" s="65"/>
      <c r="B754" s="213"/>
      <c r="C754" s="213"/>
      <c r="D754" s="213"/>
      <c r="E754" s="213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>
      <c r="A755" s="65"/>
      <c r="B755" s="213"/>
      <c r="C755" s="213"/>
      <c r="D755" s="213"/>
      <c r="E755" s="213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>
      <c r="A756" s="65"/>
      <c r="B756" s="213"/>
      <c r="C756" s="213"/>
      <c r="D756" s="213"/>
      <c r="E756" s="213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>
      <c r="A757" s="65"/>
      <c r="B757" s="213"/>
      <c r="C757" s="213"/>
      <c r="D757" s="213"/>
      <c r="E757" s="213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>
      <c r="A758" s="65"/>
      <c r="B758" s="213"/>
      <c r="C758" s="213"/>
      <c r="D758" s="213"/>
      <c r="E758" s="213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>
      <c r="A759" s="65"/>
      <c r="B759" s="213"/>
      <c r="C759" s="213"/>
      <c r="D759" s="213"/>
      <c r="E759" s="213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>
      <c r="A760" s="65"/>
      <c r="B760" s="213"/>
      <c r="C760" s="213"/>
      <c r="D760" s="213"/>
      <c r="E760" s="213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>
      <c r="A761" s="65"/>
      <c r="B761" s="213"/>
      <c r="C761" s="213"/>
      <c r="D761" s="213"/>
      <c r="E761" s="213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>
      <c r="A762" s="65"/>
      <c r="B762" s="213"/>
      <c r="C762" s="213"/>
      <c r="D762" s="213"/>
      <c r="E762" s="213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>
      <c r="A763" s="65"/>
      <c r="B763" s="213"/>
      <c r="C763" s="213"/>
      <c r="D763" s="213"/>
      <c r="E763" s="213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>
      <c r="A764" s="65"/>
      <c r="B764" s="213"/>
      <c r="C764" s="213"/>
      <c r="D764" s="213"/>
      <c r="E764" s="213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>
      <c r="A765" s="65"/>
      <c r="B765" s="213"/>
      <c r="C765" s="213"/>
      <c r="D765" s="213"/>
      <c r="E765" s="213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>
      <c r="A766" s="65"/>
      <c r="B766" s="213"/>
      <c r="C766" s="213"/>
      <c r="D766" s="213"/>
      <c r="E766" s="213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>
      <c r="A767" s="65"/>
      <c r="B767" s="213"/>
      <c r="C767" s="213"/>
      <c r="D767" s="213"/>
      <c r="E767" s="213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>
      <c r="A768" s="65"/>
      <c r="B768" s="213"/>
      <c r="C768" s="213"/>
      <c r="D768" s="213"/>
      <c r="E768" s="213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>
      <c r="A769" s="65"/>
      <c r="B769" s="213"/>
      <c r="C769" s="213"/>
      <c r="D769" s="213"/>
      <c r="E769" s="213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>
      <c r="A770" s="65"/>
      <c r="B770" s="213"/>
      <c r="C770" s="213"/>
      <c r="D770" s="213"/>
      <c r="E770" s="213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>
      <c r="A771" s="65"/>
      <c r="B771" s="213"/>
      <c r="C771" s="213"/>
      <c r="D771" s="213"/>
      <c r="E771" s="213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>
      <c r="A772" s="65"/>
      <c r="B772" s="213"/>
      <c r="C772" s="213"/>
      <c r="D772" s="213"/>
      <c r="E772" s="213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>
      <c r="A773" s="65"/>
      <c r="B773" s="213"/>
      <c r="C773" s="213"/>
      <c r="D773" s="213"/>
      <c r="E773" s="213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>
      <c r="A774" s="65"/>
      <c r="B774" s="213"/>
      <c r="C774" s="213"/>
      <c r="D774" s="213"/>
      <c r="E774" s="213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>
      <c r="A775" s="65"/>
      <c r="B775" s="213"/>
      <c r="C775" s="213"/>
      <c r="D775" s="213"/>
      <c r="E775" s="213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>
      <c r="A776" s="65"/>
      <c r="B776" s="213"/>
      <c r="C776" s="213"/>
      <c r="D776" s="213"/>
      <c r="E776" s="213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>
      <c r="A777" s="65"/>
      <c r="B777" s="213"/>
      <c r="C777" s="213"/>
      <c r="D777" s="213"/>
      <c r="E777" s="213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>
      <c r="A778" s="65"/>
      <c r="B778" s="213"/>
      <c r="C778" s="213"/>
      <c r="D778" s="213"/>
      <c r="E778" s="213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>
      <c r="A779" s="65"/>
      <c r="B779" s="213"/>
      <c r="C779" s="213"/>
      <c r="D779" s="213"/>
      <c r="E779" s="213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>
      <c r="A780" s="65"/>
      <c r="B780" s="213"/>
      <c r="C780" s="213"/>
      <c r="D780" s="213"/>
      <c r="E780" s="213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>
      <c r="A781" s="65"/>
      <c r="B781" s="213"/>
      <c r="C781" s="213"/>
      <c r="D781" s="213"/>
      <c r="E781" s="213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>
      <c r="A782" s="65"/>
      <c r="B782" s="213"/>
      <c r="C782" s="213"/>
      <c r="D782" s="213"/>
      <c r="E782" s="213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>
      <c r="A783" s="65"/>
      <c r="B783" s="213"/>
      <c r="C783" s="213"/>
      <c r="D783" s="213"/>
      <c r="E783" s="213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>
      <c r="A784" s="65"/>
      <c r="B784" s="213"/>
      <c r="C784" s="213"/>
      <c r="D784" s="213"/>
      <c r="E784" s="213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>
      <c r="A785" s="65"/>
      <c r="B785" s="213"/>
      <c r="C785" s="213"/>
      <c r="D785" s="213"/>
      <c r="E785" s="213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>
      <c r="A786" s="65"/>
      <c r="B786" s="213"/>
      <c r="C786" s="213"/>
      <c r="D786" s="213"/>
      <c r="E786" s="213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>
      <c r="A787" s="65"/>
      <c r="B787" s="213"/>
      <c r="C787" s="213"/>
      <c r="D787" s="213"/>
      <c r="E787" s="213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>
      <c r="A788" s="65"/>
      <c r="B788" s="213"/>
      <c r="C788" s="213"/>
      <c r="D788" s="213"/>
      <c r="E788" s="213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>
      <c r="A789" s="65"/>
      <c r="B789" s="213"/>
      <c r="C789" s="213"/>
      <c r="D789" s="213"/>
      <c r="E789" s="213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>
      <c r="A790" s="65"/>
      <c r="B790" s="213"/>
      <c r="C790" s="213"/>
      <c r="D790" s="213"/>
      <c r="E790" s="213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>
      <c r="A791" s="65"/>
      <c r="B791" s="213"/>
      <c r="C791" s="213"/>
      <c r="D791" s="213"/>
      <c r="E791" s="213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>
      <c r="A792" s="65"/>
      <c r="B792" s="213"/>
      <c r="C792" s="213"/>
      <c r="D792" s="213"/>
      <c r="E792" s="213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>
      <c r="A793" s="65"/>
      <c r="B793" s="213"/>
      <c r="C793" s="213"/>
      <c r="D793" s="213"/>
      <c r="E793" s="213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>
      <c r="A794" s="65"/>
      <c r="B794" s="213"/>
      <c r="C794" s="213"/>
      <c r="D794" s="213"/>
      <c r="E794" s="213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>
      <c r="A795" s="65"/>
      <c r="B795" s="213"/>
      <c r="C795" s="213"/>
      <c r="D795" s="213"/>
      <c r="E795" s="213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>
      <c r="A796" s="65"/>
      <c r="B796" s="213"/>
      <c r="C796" s="213"/>
      <c r="D796" s="213"/>
      <c r="E796" s="213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>
      <c r="A797" s="65"/>
      <c r="B797" s="213"/>
      <c r="C797" s="213"/>
      <c r="D797" s="213"/>
      <c r="E797" s="213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>
      <c r="A798" s="65"/>
      <c r="B798" s="213"/>
      <c r="C798" s="213"/>
      <c r="D798" s="213"/>
      <c r="E798" s="213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>
      <c r="A799" s="65"/>
      <c r="B799" s="213"/>
      <c r="C799" s="213"/>
      <c r="D799" s="213"/>
      <c r="E799" s="213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>
      <c r="A800" s="65"/>
      <c r="B800" s="213"/>
      <c r="C800" s="213"/>
      <c r="D800" s="213"/>
      <c r="E800" s="213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>
      <c r="A801" s="65"/>
      <c r="B801" s="213"/>
      <c r="C801" s="213"/>
      <c r="D801" s="213"/>
      <c r="E801" s="213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>
      <c r="A802" s="65"/>
      <c r="B802" s="213"/>
      <c r="C802" s="213"/>
      <c r="D802" s="213"/>
      <c r="E802" s="213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>
      <c r="A803" s="65"/>
      <c r="B803" s="213"/>
      <c r="C803" s="213"/>
      <c r="D803" s="213"/>
      <c r="E803" s="213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>
      <c r="A804" s="65"/>
      <c r="B804" s="213"/>
      <c r="C804" s="213"/>
      <c r="D804" s="213"/>
      <c r="E804" s="213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>
      <c r="A805" s="65"/>
      <c r="B805" s="213"/>
      <c r="C805" s="213"/>
      <c r="D805" s="213"/>
      <c r="E805" s="213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>
      <c r="A806" s="65"/>
      <c r="B806" s="213"/>
      <c r="C806" s="213"/>
      <c r="D806" s="213"/>
      <c r="E806" s="213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>
      <c r="A807" s="65"/>
      <c r="B807" s="213"/>
      <c r="C807" s="213"/>
      <c r="D807" s="213"/>
      <c r="E807" s="213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>
      <c r="A808" s="65"/>
      <c r="B808" s="213"/>
      <c r="C808" s="213"/>
      <c r="D808" s="213"/>
      <c r="E808" s="213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>
      <c r="A809" s="65"/>
      <c r="B809" s="213"/>
      <c r="C809" s="213"/>
      <c r="D809" s="213"/>
      <c r="E809" s="213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>
      <c r="A810" s="65"/>
      <c r="B810" s="213"/>
      <c r="C810" s="213"/>
      <c r="D810" s="213"/>
      <c r="E810" s="213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>
      <c r="A811" s="65"/>
      <c r="B811" s="213"/>
      <c r="C811" s="213"/>
      <c r="D811" s="213"/>
      <c r="E811" s="213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>
      <c r="A812" s="65"/>
      <c r="B812" s="213"/>
      <c r="C812" s="213"/>
      <c r="D812" s="213"/>
      <c r="E812" s="213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>
      <c r="A813" s="65"/>
      <c r="B813" s="213"/>
      <c r="C813" s="213"/>
      <c r="D813" s="213"/>
      <c r="E813" s="213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>
      <c r="A814" s="65"/>
      <c r="B814" s="213"/>
      <c r="C814" s="213"/>
      <c r="D814" s="213"/>
      <c r="E814" s="213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>
      <c r="A815" s="65"/>
      <c r="B815" s="213"/>
      <c r="C815" s="213"/>
      <c r="D815" s="213"/>
      <c r="E815" s="213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>
      <c r="A816" s="65"/>
      <c r="B816" s="213"/>
      <c r="C816" s="213"/>
      <c r="D816" s="213"/>
      <c r="E816" s="213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>
      <c r="A817" s="65"/>
      <c r="B817" s="213"/>
      <c r="C817" s="213"/>
      <c r="D817" s="213"/>
      <c r="E817" s="213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>
      <c r="A818" s="65"/>
      <c r="B818" s="213"/>
      <c r="C818" s="213"/>
      <c r="D818" s="213"/>
      <c r="E818" s="213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>
      <c r="A819" s="65"/>
      <c r="B819" s="213"/>
      <c r="C819" s="213"/>
      <c r="D819" s="213"/>
      <c r="E819" s="213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>
      <c r="A820" s="65"/>
      <c r="B820" s="213"/>
      <c r="C820" s="213"/>
      <c r="D820" s="213"/>
      <c r="E820" s="213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>
      <c r="A821" s="65"/>
      <c r="B821" s="213"/>
      <c r="C821" s="213"/>
      <c r="D821" s="213"/>
      <c r="E821" s="213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>
      <c r="A822" s="65"/>
      <c r="B822" s="213"/>
      <c r="C822" s="213"/>
      <c r="D822" s="213"/>
      <c r="E822" s="213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>
      <c r="A823" s="65"/>
      <c r="B823" s="213"/>
      <c r="C823" s="213"/>
      <c r="D823" s="213"/>
      <c r="E823" s="213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>
      <c r="A824" s="65"/>
      <c r="B824" s="213"/>
      <c r="C824" s="213"/>
      <c r="D824" s="213"/>
      <c r="E824" s="213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>
      <c r="A825" s="65"/>
      <c r="B825" s="213"/>
      <c r="C825" s="213"/>
      <c r="D825" s="213"/>
      <c r="E825" s="213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>
      <c r="A826" s="65"/>
      <c r="B826" s="213"/>
      <c r="C826" s="213"/>
      <c r="D826" s="213"/>
      <c r="E826" s="213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>
      <c r="A827" s="65"/>
      <c r="B827" s="213"/>
      <c r="C827" s="213"/>
      <c r="D827" s="213"/>
      <c r="E827" s="213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>
      <c r="A828" s="65"/>
      <c r="B828" s="213"/>
      <c r="C828" s="213"/>
      <c r="D828" s="213"/>
      <c r="E828" s="213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>
      <c r="A829" s="65"/>
      <c r="B829" s="213"/>
      <c r="C829" s="213"/>
      <c r="D829" s="213"/>
      <c r="E829" s="213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>
      <c r="A830" s="65"/>
      <c r="B830" s="213"/>
      <c r="C830" s="213"/>
      <c r="D830" s="213"/>
      <c r="E830" s="213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>
      <c r="A831" s="65"/>
      <c r="B831" s="213"/>
      <c r="C831" s="213"/>
      <c r="D831" s="213"/>
      <c r="E831" s="213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>
      <c r="A832" s="65"/>
      <c r="B832" s="213"/>
      <c r="C832" s="213"/>
      <c r="D832" s="213"/>
      <c r="E832" s="213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>
      <c r="A833" s="65"/>
      <c r="B833" s="213"/>
      <c r="C833" s="213"/>
      <c r="D833" s="213"/>
      <c r="E833" s="213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>
      <c r="A834" s="65"/>
      <c r="B834" s="213"/>
      <c r="C834" s="213"/>
      <c r="D834" s="213"/>
      <c r="E834" s="213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>
      <c r="A835" s="65"/>
      <c r="B835" s="213"/>
      <c r="C835" s="213"/>
      <c r="D835" s="213"/>
      <c r="E835" s="213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>
      <c r="A836" s="65"/>
      <c r="B836" s="213"/>
      <c r="C836" s="213"/>
      <c r="D836" s="213"/>
      <c r="E836" s="213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>
      <c r="A837" s="65"/>
      <c r="B837" s="213"/>
      <c r="C837" s="213"/>
      <c r="D837" s="213"/>
      <c r="E837" s="213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>
      <c r="A838" s="65"/>
      <c r="B838" s="213"/>
      <c r="C838" s="213"/>
      <c r="D838" s="213"/>
      <c r="E838" s="213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>
      <c r="A839" s="65"/>
      <c r="B839" s="213"/>
      <c r="C839" s="213"/>
      <c r="D839" s="213"/>
      <c r="E839" s="213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>
      <c r="A840" s="65"/>
      <c r="B840" s="213"/>
      <c r="C840" s="213"/>
      <c r="D840" s="213"/>
      <c r="E840" s="213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>
      <c r="A841" s="65"/>
      <c r="B841" s="213"/>
      <c r="C841" s="213"/>
      <c r="D841" s="213"/>
      <c r="E841" s="213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>
      <c r="A842" s="65"/>
      <c r="B842" s="213"/>
      <c r="C842" s="213"/>
      <c r="D842" s="213"/>
      <c r="E842" s="213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>
      <c r="A843" s="65"/>
      <c r="B843" s="213"/>
      <c r="C843" s="213"/>
      <c r="D843" s="213"/>
      <c r="E843" s="213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>
      <c r="A844" s="65"/>
      <c r="B844" s="213"/>
      <c r="C844" s="213"/>
      <c r="D844" s="213"/>
      <c r="E844" s="213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>
      <c r="A845" s="65"/>
      <c r="B845" s="213"/>
      <c r="C845" s="213"/>
      <c r="D845" s="213"/>
      <c r="E845" s="213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>
      <c r="A846" s="65"/>
      <c r="B846" s="213"/>
      <c r="C846" s="213"/>
      <c r="D846" s="213"/>
      <c r="E846" s="213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>
      <c r="A847" s="65"/>
      <c r="B847" s="213"/>
      <c r="C847" s="213"/>
      <c r="D847" s="213"/>
      <c r="E847" s="213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>
      <c r="A848" s="65"/>
      <c r="B848" s="213"/>
      <c r="C848" s="213"/>
      <c r="D848" s="213"/>
      <c r="E848" s="213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>
      <c r="A849" s="65"/>
      <c r="B849" s="213"/>
      <c r="C849" s="213"/>
      <c r="D849" s="213"/>
      <c r="E849" s="213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>
      <c r="A850" s="65"/>
      <c r="B850" s="213"/>
      <c r="C850" s="213"/>
      <c r="D850" s="213"/>
      <c r="E850" s="213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>
      <c r="A851" s="65"/>
      <c r="B851" s="213"/>
      <c r="C851" s="213"/>
      <c r="D851" s="213"/>
      <c r="E851" s="213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>
      <c r="A852" s="65"/>
      <c r="B852" s="213"/>
      <c r="C852" s="213"/>
      <c r="D852" s="213"/>
      <c r="E852" s="213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>
      <c r="A853" s="65"/>
      <c r="B853" s="213"/>
      <c r="C853" s="213"/>
      <c r="D853" s="213"/>
      <c r="E853" s="213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>
      <c r="A854" s="65"/>
      <c r="B854" s="213"/>
      <c r="C854" s="213"/>
      <c r="D854" s="213"/>
      <c r="E854" s="213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>
      <c r="A855" s="65"/>
      <c r="B855" s="213"/>
      <c r="C855" s="213"/>
      <c r="D855" s="213"/>
      <c r="E855" s="213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>
      <c r="A856" s="65"/>
      <c r="B856" s="213"/>
      <c r="C856" s="213"/>
      <c r="D856" s="213"/>
      <c r="E856" s="213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>
      <c r="A857" s="65"/>
      <c r="B857" s="213"/>
      <c r="C857" s="213"/>
      <c r="D857" s="213"/>
      <c r="E857" s="213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>
      <c r="A858" s="65"/>
      <c r="B858" s="213"/>
      <c r="C858" s="213"/>
      <c r="D858" s="213"/>
      <c r="E858" s="213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>
      <c r="A859" s="65"/>
      <c r="B859" s="213"/>
      <c r="C859" s="213"/>
      <c r="D859" s="213"/>
      <c r="E859" s="213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>
      <c r="A860" s="65"/>
      <c r="B860" s="213"/>
      <c r="C860" s="213"/>
      <c r="D860" s="213"/>
      <c r="E860" s="213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>
      <c r="A861" s="65"/>
      <c r="B861" s="213"/>
      <c r="C861" s="213"/>
      <c r="D861" s="213"/>
      <c r="E861" s="213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>
      <c r="A862" s="65"/>
      <c r="B862" s="213"/>
      <c r="C862" s="213"/>
      <c r="D862" s="213"/>
      <c r="E862" s="213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>
      <c r="A863" s="65"/>
      <c r="B863" s="213"/>
      <c r="C863" s="213"/>
      <c r="D863" s="213"/>
      <c r="E863" s="213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>
      <c r="A864" s="65"/>
      <c r="B864" s="213"/>
      <c r="C864" s="213"/>
      <c r="D864" s="213"/>
      <c r="E864" s="213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>
      <c r="A865" s="65"/>
      <c r="B865" s="213"/>
      <c r="C865" s="213"/>
      <c r="D865" s="213"/>
      <c r="E865" s="213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>
      <c r="A866" s="65"/>
      <c r="B866" s="213"/>
      <c r="C866" s="213"/>
      <c r="D866" s="213"/>
      <c r="E866" s="213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>
      <c r="A867" s="65"/>
      <c r="B867" s="213"/>
      <c r="C867" s="213"/>
      <c r="D867" s="213"/>
      <c r="E867" s="213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>
      <c r="A868" s="65"/>
      <c r="B868" s="213"/>
      <c r="C868" s="213"/>
      <c r="D868" s="213"/>
      <c r="E868" s="213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>
      <c r="A869" s="65"/>
      <c r="B869" s="213"/>
      <c r="C869" s="213"/>
      <c r="D869" s="213"/>
      <c r="E869" s="213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>
      <c r="A870" s="65"/>
      <c r="B870" s="213"/>
      <c r="C870" s="213"/>
      <c r="D870" s="213"/>
      <c r="E870" s="213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>
      <c r="A871" s="65"/>
      <c r="B871" s="213"/>
      <c r="C871" s="213"/>
      <c r="D871" s="213"/>
      <c r="E871" s="213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>
      <c r="A872" s="65"/>
      <c r="B872" s="213"/>
      <c r="C872" s="213"/>
      <c r="D872" s="213"/>
      <c r="E872" s="213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>
      <c r="A873" s="65"/>
      <c r="B873" s="213"/>
      <c r="C873" s="213"/>
      <c r="D873" s="213"/>
      <c r="E873" s="213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>
      <c r="A874" s="65"/>
      <c r="B874" s="213"/>
      <c r="C874" s="213"/>
      <c r="D874" s="213"/>
      <c r="E874" s="213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>
      <c r="A875" s="65"/>
      <c r="B875" s="213"/>
      <c r="C875" s="213"/>
      <c r="D875" s="213"/>
      <c r="E875" s="213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>
      <c r="A876" s="65"/>
      <c r="B876" s="213"/>
      <c r="C876" s="213"/>
      <c r="D876" s="213"/>
      <c r="E876" s="213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>
      <c r="A877" s="65"/>
      <c r="B877" s="213"/>
      <c r="C877" s="213"/>
      <c r="D877" s="213"/>
      <c r="E877" s="213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>
      <c r="A878" s="65"/>
      <c r="B878" s="213"/>
      <c r="C878" s="213"/>
      <c r="D878" s="213"/>
      <c r="E878" s="213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>
      <c r="A879" s="65"/>
      <c r="B879" s="213"/>
      <c r="C879" s="213"/>
      <c r="D879" s="213"/>
      <c r="E879" s="213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>
      <c r="A880" s="65"/>
      <c r="B880" s="213"/>
      <c r="C880" s="213"/>
      <c r="D880" s="213"/>
      <c r="E880" s="213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>
      <c r="A881" s="65"/>
      <c r="B881" s="213"/>
      <c r="C881" s="213"/>
      <c r="D881" s="213"/>
      <c r="E881" s="213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>
      <c r="A882" s="65"/>
      <c r="B882" s="213"/>
      <c r="C882" s="213"/>
      <c r="D882" s="213"/>
      <c r="E882" s="213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>
      <c r="A883" s="65"/>
      <c r="B883" s="213"/>
      <c r="C883" s="213"/>
      <c r="D883" s="213"/>
      <c r="E883" s="213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>
      <c r="A884" s="65"/>
      <c r="B884" s="213"/>
      <c r="C884" s="213"/>
      <c r="D884" s="213"/>
      <c r="E884" s="213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>
      <c r="A885" s="65"/>
      <c r="B885" s="213"/>
      <c r="C885" s="213"/>
      <c r="D885" s="213"/>
      <c r="E885" s="213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>
      <c r="A886" s="65"/>
      <c r="B886" s="213"/>
      <c r="C886" s="213"/>
      <c r="D886" s="213"/>
      <c r="E886" s="213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>
      <c r="A887" s="65"/>
      <c r="B887" s="213"/>
      <c r="C887" s="213"/>
      <c r="D887" s="213"/>
      <c r="E887" s="213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>
      <c r="A888" s="65"/>
      <c r="B888" s="213"/>
      <c r="C888" s="213"/>
      <c r="D888" s="213"/>
      <c r="E888" s="213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>
      <c r="A889" s="65"/>
      <c r="B889" s="213"/>
      <c r="C889" s="213"/>
      <c r="D889" s="213"/>
      <c r="E889" s="213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>
      <c r="A890" s="65"/>
      <c r="B890" s="213"/>
      <c r="C890" s="213"/>
      <c r="D890" s="213"/>
      <c r="E890" s="213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>
      <c r="A891" s="65"/>
      <c r="B891" s="213"/>
      <c r="C891" s="213"/>
      <c r="D891" s="213"/>
      <c r="E891" s="213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>
      <c r="A892" s="65"/>
      <c r="B892" s="213"/>
      <c r="C892" s="213"/>
      <c r="D892" s="213"/>
      <c r="E892" s="213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>
      <c r="A893" s="65"/>
      <c r="B893" s="213"/>
      <c r="C893" s="213"/>
      <c r="D893" s="213"/>
      <c r="E893" s="213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>
      <c r="A894" s="65"/>
      <c r="B894" s="213"/>
      <c r="C894" s="213"/>
      <c r="D894" s="213"/>
      <c r="E894" s="213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>
      <c r="A895" s="65"/>
      <c r="B895" s="213"/>
      <c r="C895" s="213"/>
      <c r="D895" s="213"/>
      <c r="E895" s="213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>
      <c r="A896" s="65"/>
      <c r="B896" s="213"/>
      <c r="C896" s="213"/>
      <c r="D896" s="213"/>
      <c r="E896" s="213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>
      <c r="A897" s="65"/>
      <c r="B897" s="213"/>
      <c r="C897" s="213"/>
      <c r="D897" s="213"/>
      <c r="E897" s="213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>
      <c r="A898" s="65"/>
      <c r="B898" s="213"/>
      <c r="C898" s="213"/>
      <c r="D898" s="213"/>
      <c r="E898" s="213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>
      <c r="A899" s="65"/>
      <c r="B899" s="213"/>
      <c r="C899" s="213"/>
      <c r="D899" s="213"/>
      <c r="E899" s="213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>
      <c r="A900" s="65"/>
      <c r="B900" s="213"/>
      <c r="C900" s="213"/>
      <c r="D900" s="213"/>
      <c r="E900" s="213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>
      <c r="A901" s="65"/>
      <c r="B901" s="213"/>
      <c r="C901" s="213"/>
      <c r="D901" s="213"/>
      <c r="E901" s="213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>
      <c r="A902" s="65"/>
      <c r="B902" s="213"/>
      <c r="C902" s="213"/>
      <c r="D902" s="213"/>
      <c r="E902" s="213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>
      <c r="A903" s="65"/>
      <c r="B903" s="213"/>
      <c r="C903" s="213"/>
      <c r="D903" s="213"/>
      <c r="E903" s="213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>
      <c r="A904" s="65"/>
      <c r="B904" s="213"/>
      <c r="C904" s="213"/>
      <c r="D904" s="213"/>
      <c r="E904" s="213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>
      <c r="A905" s="65"/>
      <c r="B905" s="213"/>
      <c r="C905" s="213"/>
      <c r="D905" s="213"/>
      <c r="E905" s="213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>
      <c r="A906" s="65"/>
      <c r="B906" s="213"/>
      <c r="C906" s="213"/>
      <c r="D906" s="213"/>
      <c r="E906" s="213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>
      <c r="A907" s="65"/>
      <c r="B907" s="213"/>
      <c r="C907" s="213"/>
      <c r="D907" s="213"/>
      <c r="E907" s="213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>
      <c r="A908" s="65"/>
      <c r="B908" s="213"/>
      <c r="C908" s="213"/>
      <c r="D908" s="213"/>
      <c r="E908" s="213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>
      <c r="A909" s="65"/>
      <c r="B909" s="213"/>
      <c r="C909" s="213"/>
      <c r="D909" s="213"/>
      <c r="E909" s="213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>
      <c r="A910" s="65"/>
      <c r="B910" s="213"/>
      <c r="C910" s="213"/>
      <c r="D910" s="213"/>
      <c r="E910" s="213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>
      <c r="A911" s="65"/>
      <c r="B911" s="213"/>
      <c r="C911" s="213"/>
      <c r="D911" s="213"/>
      <c r="E911" s="213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>
      <c r="A912" s="65"/>
      <c r="B912" s="213"/>
      <c r="C912" s="213"/>
      <c r="D912" s="213"/>
      <c r="E912" s="213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>
      <c r="A913" s="65"/>
      <c r="B913" s="213"/>
      <c r="C913" s="213"/>
      <c r="D913" s="213"/>
      <c r="E913" s="213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>
      <c r="A914" s="65"/>
      <c r="B914" s="213"/>
      <c r="C914" s="213"/>
      <c r="D914" s="213"/>
      <c r="E914" s="213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>
      <c r="A915" s="65"/>
      <c r="B915" s="213"/>
      <c r="C915" s="213"/>
      <c r="D915" s="213"/>
      <c r="E915" s="213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>
      <c r="A916" s="65"/>
      <c r="B916" s="213"/>
      <c r="C916" s="213"/>
      <c r="D916" s="213"/>
      <c r="E916" s="213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>
      <c r="A917" s="65"/>
      <c r="B917" s="213"/>
      <c r="C917" s="213"/>
      <c r="D917" s="213"/>
      <c r="E917" s="213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>
      <c r="A918" s="65"/>
      <c r="B918" s="213"/>
      <c r="C918" s="213"/>
      <c r="D918" s="213"/>
      <c r="E918" s="213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>
      <c r="A919" s="65"/>
      <c r="B919" s="213"/>
      <c r="C919" s="213"/>
      <c r="D919" s="213"/>
      <c r="E919" s="213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>
      <c r="A920" s="65"/>
      <c r="B920" s="213"/>
      <c r="C920" s="213"/>
      <c r="D920" s="213"/>
      <c r="E920" s="213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>
      <c r="A921" s="65"/>
      <c r="B921" s="213"/>
      <c r="C921" s="213"/>
      <c r="D921" s="213"/>
      <c r="E921" s="213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>
      <c r="A922" s="65"/>
      <c r="B922" s="213"/>
      <c r="C922" s="213"/>
      <c r="D922" s="213"/>
      <c r="E922" s="213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>
      <c r="A923" s="65"/>
      <c r="B923" s="213"/>
      <c r="C923" s="213"/>
      <c r="D923" s="213"/>
      <c r="E923" s="213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>
      <c r="A924" s="65"/>
      <c r="B924" s="213"/>
      <c r="C924" s="213"/>
      <c r="D924" s="213"/>
      <c r="E924" s="213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>
      <c r="A925" s="65"/>
      <c r="B925" s="213"/>
      <c r="C925" s="213"/>
      <c r="D925" s="213"/>
      <c r="E925" s="213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>
      <c r="A926" s="65"/>
      <c r="B926" s="213"/>
      <c r="C926" s="213"/>
      <c r="D926" s="213"/>
      <c r="E926" s="213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>
      <c r="A927" s="65"/>
      <c r="B927" s="213"/>
      <c r="C927" s="213"/>
      <c r="D927" s="213"/>
      <c r="E927" s="213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>
      <c r="A928" s="65"/>
      <c r="B928" s="213"/>
      <c r="C928" s="213"/>
      <c r="D928" s="213"/>
      <c r="E928" s="213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>
      <c r="A929" s="65"/>
      <c r="B929" s="213"/>
      <c r="C929" s="213"/>
      <c r="D929" s="213"/>
      <c r="E929" s="213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>
      <c r="A930" s="65"/>
      <c r="B930" s="213"/>
      <c r="C930" s="213"/>
      <c r="D930" s="213"/>
      <c r="E930" s="213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>
      <c r="A931" s="65"/>
      <c r="B931" s="213"/>
      <c r="C931" s="213"/>
      <c r="D931" s="213"/>
      <c r="E931" s="213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>
      <c r="A932" s="65"/>
      <c r="B932" s="213"/>
      <c r="C932" s="213"/>
      <c r="D932" s="213"/>
      <c r="E932" s="213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>
      <c r="A933" s="65"/>
      <c r="B933" s="213"/>
      <c r="C933" s="213"/>
      <c r="D933" s="213"/>
      <c r="E933" s="213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>
      <c r="A934" s="65"/>
      <c r="B934" s="213"/>
      <c r="C934" s="213"/>
      <c r="D934" s="213"/>
      <c r="E934" s="213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>
      <c r="A935" s="65"/>
      <c r="B935" s="213"/>
      <c r="C935" s="213"/>
      <c r="D935" s="213"/>
      <c r="E935" s="213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>
      <c r="A936" s="65"/>
      <c r="B936" s="213"/>
      <c r="C936" s="213"/>
      <c r="D936" s="213"/>
      <c r="E936" s="213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>
      <c r="A937" s="65"/>
      <c r="B937" s="213"/>
      <c r="C937" s="213"/>
      <c r="D937" s="213"/>
      <c r="E937" s="213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>
      <c r="A938" s="65"/>
      <c r="B938" s="213"/>
      <c r="C938" s="213"/>
      <c r="D938" s="213"/>
      <c r="E938" s="213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>
      <c r="A939" s="65"/>
      <c r="B939" s="213"/>
      <c r="C939" s="213"/>
      <c r="D939" s="213"/>
      <c r="E939" s="213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>
      <c r="A940" s="65"/>
      <c r="B940" s="213"/>
      <c r="C940" s="213"/>
      <c r="D940" s="213"/>
      <c r="E940" s="213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>
      <c r="A941" s="65"/>
      <c r="B941" s="213"/>
      <c r="C941" s="213"/>
      <c r="D941" s="213"/>
      <c r="E941" s="213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>
      <c r="A942" s="65"/>
      <c r="B942" s="213"/>
      <c r="C942" s="213"/>
      <c r="D942" s="213"/>
      <c r="E942" s="213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>
      <c r="A943" s="65"/>
      <c r="B943" s="213"/>
      <c r="C943" s="213"/>
      <c r="D943" s="213"/>
      <c r="E943" s="213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>
      <c r="A944" s="65"/>
      <c r="B944" s="213"/>
      <c r="C944" s="213"/>
      <c r="D944" s="213"/>
      <c r="E944" s="213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>
      <c r="A945" s="65"/>
      <c r="B945" s="213"/>
      <c r="C945" s="213"/>
      <c r="D945" s="213"/>
      <c r="E945" s="213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>
      <c r="A946" s="65"/>
      <c r="B946" s="213"/>
      <c r="C946" s="213"/>
      <c r="D946" s="213"/>
      <c r="E946" s="213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>
      <c r="A947" s="65"/>
      <c r="B947" s="213"/>
      <c r="C947" s="213"/>
      <c r="D947" s="213"/>
      <c r="E947" s="213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>
      <c r="A948" s="65"/>
      <c r="B948" s="213"/>
      <c r="C948" s="213"/>
      <c r="D948" s="213"/>
      <c r="E948" s="213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>
      <c r="A949" s="65"/>
      <c r="B949" s="213"/>
      <c r="C949" s="213"/>
      <c r="D949" s="213"/>
      <c r="E949" s="213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>
      <c r="A950" s="65"/>
      <c r="B950" s="213"/>
      <c r="C950" s="213"/>
      <c r="D950" s="213"/>
      <c r="E950" s="213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>
      <c r="A951" s="65"/>
      <c r="B951" s="213"/>
      <c r="C951" s="213"/>
      <c r="D951" s="213"/>
      <c r="E951" s="213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>
      <c r="A952" s="65"/>
      <c r="B952" s="213"/>
      <c r="C952" s="213"/>
      <c r="D952" s="213"/>
      <c r="E952" s="213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>
      <c r="A953" s="65"/>
      <c r="B953" s="213"/>
      <c r="C953" s="213"/>
      <c r="D953" s="213"/>
      <c r="E953" s="213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>
      <c r="A954" s="65"/>
      <c r="B954" s="213"/>
      <c r="C954" s="213"/>
      <c r="D954" s="213"/>
      <c r="E954" s="213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>
      <c r="A955" s="65"/>
      <c r="B955" s="213"/>
      <c r="C955" s="213"/>
      <c r="D955" s="213"/>
      <c r="E955" s="213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>
      <c r="A956" s="65"/>
      <c r="B956" s="213"/>
      <c r="C956" s="213"/>
      <c r="D956" s="213"/>
      <c r="E956" s="213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>
      <c r="A957" s="65"/>
      <c r="B957" s="213"/>
      <c r="C957" s="213"/>
      <c r="D957" s="213"/>
      <c r="E957" s="213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>
      <c r="A958" s="65"/>
      <c r="B958" s="213"/>
      <c r="C958" s="213"/>
      <c r="D958" s="213"/>
      <c r="E958" s="213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>
      <c r="A959" s="65"/>
      <c r="B959" s="213"/>
      <c r="C959" s="213"/>
      <c r="D959" s="213"/>
      <c r="E959" s="213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>
      <c r="A960" s="65"/>
      <c r="B960" s="213"/>
      <c r="C960" s="213"/>
      <c r="D960" s="213"/>
      <c r="E960" s="213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>
      <c r="A961" s="65"/>
      <c r="B961" s="213"/>
      <c r="C961" s="213"/>
      <c r="D961" s="213"/>
      <c r="E961" s="213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>
      <c r="A962" s="65"/>
      <c r="B962" s="213"/>
      <c r="C962" s="213"/>
      <c r="D962" s="213"/>
      <c r="E962" s="213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>
      <c r="A963" s="65"/>
      <c r="B963" s="213"/>
      <c r="C963" s="213"/>
      <c r="D963" s="213"/>
      <c r="E963" s="213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>
      <c r="A964" s="65"/>
      <c r="B964" s="213"/>
      <c r="C964" s="213"/>
      <c r="D964" s="213"/>
      <c r="E964" s="213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>
      <c r="A965" s="65"/>
      <c r="B965" s="213"/>
      <c r="C965" s="213"/>
      <c r="D965" s="213"/>
      <c r="E965" s="213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>
      <c r="A966" s="65"/>
      <c r="B966" s="213"/>
      <c r="C966" s="213"/>
      <c r="D966" s="213"/>
      <c r="E966" s="213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>
      <c r="A967" s="65"/>
      <c r="B967" s="213"/>
      <c r="C967" s="213"/>
      <c r="D967" s="213"/>
      <c r="E967" s="213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>
      <c r="A968" s="65"/>
      <c r="B968" s="213"/>
      <c r="C968" s="213"/>
      <c r="D968" s="213"/>
      <c r="E968" s="213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>
      <c r="A969" s="65"/>
      <c r="B969" s="213"/>
      <c r="C969" s="213"/>
      <c r="D969" s="213"/>
      <c r="E969" s="213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>
      <c r="A970" s="65"/>
      <c r="B970" s="213"/>
      <c r="C970" s="213"/>
      <c r="D970" s="213"/>
      <c r="E970" s="213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>
      <c r="A971" s="65"/>
      <c r="B971" s="213"/>
      <c r="C971" s="213"/>
      <c r="D971" s="213"/>
      <c r="E971" s="213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>
      <c r="A972" s="65"/>
      <c r="B972" s="213"/>
      <c r="C972" s="213"/>
      <c r="D972" s="213"/>
      <c r="E972" s="213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>
      <c r="A973" s="65"/>
      <c r="B973" s="213"/>
      <c r="C973" s="213"/>
      <c r="D973" s="213"/>
      <c r="E973" s="213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>
      <c r="A974" s="65"/>
      <c r="B974" s="213"/>
      <c r="C974" s="213"/>
      <c r="D974" s="213"/>
      <c r="E974" s="213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>
      <c r="A975" s="65"/>
      <c r="B975" s="213"/>
      <c r="C975" s="213"/>
      <c r="D975" s="213"/>
      <c r="E975" s="213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>
      <c r="A976" s="65"/>
      <c r="B976" s="213"/>
      <c r="C976" s="213"/>
      <c r="D976" s="213"/>
      <c r="E976" s="213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>
      <c r="A977" s="65"/>
      <c r="B977" s="213"/>
      <c r="C977" s="213"/>
      <c r="D977" s="213"/>
      <c r="E977" s="213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>
      <c r="A978" s="65"/>
      <c r="B978" s="213"/>
      <c r="C978" s="213"/>
      <c r="D978" s="213"/>
      <c r="E978" s="213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>
      <c r="A979" s="65"/>
      <c r="B979" s="213"/>
      <c r="C979" s="213"/>
      <c r="D979" s="213"/>
      <c r="E979" s="213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>
      <c r="A980" s="65"/>
      <c r="B980" s="213"/>
      <c r="C980" s="213"/>
      <c r="D980" s="213"/>
      <c r="E980" s="213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>
      <c r="A981" s="65"/>
      <c r="B981" s="213"/>
      <c r="C981" s="213"/>
      <c r="D981" s="213"/>
      <c r="E981" s="213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>
      <c r="A982" s="65"/>
      <c r="B982" s="213"/>
      <c r="C982" s="213"/>
      <c r="D982" s="213"/>
      <c r="E982" s="213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>
      <c r="A983" s="65"/>
      <c r="B983" s="213"/>
      <c r="C983" s="213"/>
      <c r="D983" s="213"/>
      <c r="E983" s="213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>
      <c r="A984" s="65"/>
      <c r="B984" s="213"/>
      <c r="C984" s="213"/>
      <c r="D984" s="213"/>
      <c r="E984" s="213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>
      <c r="A985" s="65"/>
      <c r="B985" s="213"/>
      <c r="C985" s="213"/>
      <c r="D985" s="213"/>
      <c r="E985" s="213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>
      <c r="A986" s="65"/>
      <c r="B986" s="213"/>
      <c r="C986" s="213"/>
      <c r="D986" s="213"/>
      <c r="E986" s="213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>
      <c r="A987" s="65"/>
      <c r="B987" s="213"/>
      <c r="C987" s="213"/>
      <c r="D987" s="213"/>
      <c r="E987" s="213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>
      <c r="A988" s="65"/>
      <c r="B988" s="213"/>
      <c r="C988" s="213"/>
      <c r="D988" s="213"/>
      <c r="E988" s="213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>
      <c r="A989" s="65"/>
      <c r="B989" s="213"/>
      <c r="C989" s="213"/>
      <c r="D989" s="213"/>
      <c r="E989" s="213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>
      <c r="A990" s="65"/>
      <c r="B990" s="213"/>
      <c r="C990" s="213"/>
      <c r="D990" s="213"/>
      <c r="E990" s="213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>
      <c r="A991" s="65"/>
      <c r="B991" s="213"/>
      <c r="C991" s="213"/>
      <c r="D991" s="213"/>
      <c r="E991" s="213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>
      <c r="A992" s="65"/>
      <c r="B992" s="213"/>
      <c r="C992" s="213"/>
      <c r="D992" s="213"/>
      <c r="E992" s="213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>
      <c r="A993" s="65"/>
      <c r="B993" s="213"/>
      <c r="C993" s="213"/>
      <c r="D993" s="213"/>
      <c r="E993" s="213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>
      <c r="A994" s="65"/>
      <c r="B994" s="213"/>
      <c r="C994" s="213"/>
      <c r="D994" s="213"/>
      <c r="E994" s="213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>
      <c r="A995" s="65"/>
      <c r="B995" s="213"/>
      <c r="C995" s="213"/>
      <c r="D995" s="213"/>
      <c r="E995" s="213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>
      <c r="A996" s="65"/>
      <c r="B996" s="213"/>
      <c r="C996" s="213"/>
      <c r="D996" s="213"/>
      <c r="E996" s="213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>
      <c r="A997" s="65"/>
      <c r="B997" s="213"/>
      <c r="C997" s="213"/>
      <c r="D997" s="213"/>
      <c r="E997" s="213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>
      <c r="A998" s="65"/>
      <c r="B998" s="213"/>
      <c r="C998" s="213"/>
      <c r="D998" s="213"/>
      <c r="E998" s="213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>
      <c r="A999" s="65"/>
      <c r="B999" s="213"/>
      <c r="C999" s="213"/>
      <c r="D999" s="213"/>
      <c r="E999" s="213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>
      <c r="A1000" s="65"/>
      <c r="B1000" s="213"/>
      <c r="C1000" s="213"/>
      <c r="D1000" s="213"/>
      <c r="E1000" s="213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</sheetData>
  <mergeCells count="9">
    <mergeCell ref="G17:U17"/>
    <mergeCell ref="G18:U18"/>
    <mergeCell ref="G10:U10"/>
    <mergeCell ref="G11:U11"/>
    <mergeCell ref="G12:U12"/>
    <mergeCell ref="G13:U13"/>
    <mergeCell ref="G14:U14"/>
    <mergeCell ref="G15:U15"/>
    <mergeCell ref="G16:U16"/>
  </mergeCells>
  <drawing r:id="rId1"/>
</worksheet>
</file>